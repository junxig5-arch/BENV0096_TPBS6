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8.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Table_of_contents" sheetId="2" state="visible" r:id="rId4"/>
    <sheet name="Notes" sheetId="3" state="visible" r:id="rId5"/>
    <sheet name="Reference" sheetId="4" state="visible" r:id="rId6"/>
    <sheet name="FFP_Low" sheetId="5" state="visible" r:id="rId7"/>
    <sheet name="FFP_High" sheetId="6" state="visible" r:id="rId8"/>
    <sheet name="GDP_Low" sheetId="7" state="visible" r:id="rId9"/>
    <sheet name="GDP_High" sheetId="8" state="visible" r:id="rId10"/>
    <sheet name="Existing" sheetId="9" state="visible" r:id="rId1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<sst xmlns="http://schemas.openxmlformats.org/spreadsheetml/2006/main" count="2150" uniqueCount="165">
  <si>
    <t xml:space="preserve">EEP - Annex A (TES sectors) - Greenhouse gas emissions by source (Territorial Emissions Statistics sectors)</t>
  </si>
  <si>
    <t xml:space="preserve">The 'Table_of_contents' sheet contains details of the scenarios published.</t>
  </si>
  <si>
    <t xml:space="preserve">The 'Notes' sheet contains details of key assumptions. Some cells in tables may refer to notes which can also be found on this sheet. Note markers are presented in square brackets, for example: [note 1].</t>
  </si>
  <si>
    <t xml:space="preserve">Publication details</t>
  </si>
  <si>
    <t xml:space="preserve">EEP 2024-2050</t>
  </si>
  <si>
    <t xml:space="preserve">Version details</t>
  </si>
  <si>
    <t xml:space="preserve">This data was published: February 2026</t>
  </si>
  <si>
    <t xml:space="preserve">Collection</t>
  </si>
  <si>
    <t xml:space="preserve">From</t>
  </si>
  <si>
    <t xml:space="preserve">Contact details</t>
  </si>
  <si>
    <t xml:space="preserve">Table of contents</t>
  </si>
  <si>
    <t xml:space="preserve">This worksheet contains one table.</t>
  </si>
  <si>
    <t xml:space="preserve">scenario</t>
  </si>
  <si>
    <t xml:space="preserve">Scenario name</t>
  </si>
  <si>
    <t xml:space="preserve">Scenario Description</t>
  </si>
  <si>
    <t xml:space="preserve">Fossil fuel price assumptions</t>
  </si>
  <si>
    <t xml:space="preserve">Economic assumptions</t>
  </si>
  <si>
    <t xml:space="preserve">Policy assumptions</t>
  </si>
  <si>
    <t xml:space="preserve">GWPs</t>
  </si>
  <si>
    <t xml:space="preserve">Reference</t>
  </si>
  <si>
    <t xml:space="preserve">Central</t>
  </si>
  <si>
    <t xml:space="preserve">Existing &amp; planned</t>
  </si>
  <si>
    <t xml:space="preserve">AR5 without feedback</t>
  </si>
  <si>
    <t xml:space="preserve">Fossil Fuel Prices - Low</t>
  </si>
  <si>
    <t xml:space="preserve">Reference assumptions with lower fossil fuel prices</t>
  </si>
  <si>
    <t xml:space="preserve">Low</t>
  </si>
  <si>
    <t xml:space="preserve">Fossil Fuel Prices - High</t>
  </si>
  <si>
    <t xml:space="preserve">Reference assumptions with higher fossil fuel prices</t>
  </si>
  <si>
    <t xml:space="preserve">High</t>
  </si>
  <si>
    <t xml:space="preserve">Economic Growth - Low</t>
  </si>
  <si>
    <t xml:space="preserve">Reference assumptions with lower economic growth</t>
  </si>
  <si>
    <t xml:space="preserve">Economic Growth - High</t>
  </si>
  <si>
    <t xml:space="preserve">Reference assumptions with higher economic growth</t>
  </si>
  <si>
    <t xml:space="preserve">With Existing Measures</t>
  </si>
  <si>
    <t xml:space="preserve">Reference assumptions, but excluding planned policies</t>
  </si>
  <si>
    <t xml:space="preserve">Existing</t>
  </si>
  <si>
    <t xml:space="preserve">Notes</t>
  </si>
  <si>
    <t xml:space="preserve">This worksheet contains one table. Some cells in the 'Link' column are empty where no relevant link is required.</t>
  </si>
  <si>
    <t xml:space="preserve">note</t>
  </si>
  <si>
    <t xml:space="preserve">Note text</t>
  </si>
  <si>
    <t xml:space="preserve">Link</t>
  </si>
  <si>
    <t xml:space="preserve">[note 1]</t>
  </si>
  <si>
    <t xml:space="preserve">Annex M contains details of how we vary the growth and price inputs for the different scenarios in this annex.</t>
  </si>
  <si>
    <t xml:space="preserve">[note 2]</t>
  </si>
  <si>
    <t xml:space="preserve">This reflects a set of assumptions for growth and prices. This does not reflect a desired or preferred outcome for Government.</t>
  </si>
  <si>
    <t xml:space="preserve">[note 3]</t>
  </si>
  <si>
    <t xml:space="preserve">Results are presented under AR5 without feedback 100-year global warming potentials (GWPs).</t>
  </si>
  <si>
    <t xml:space="preserve">[note 4]</t>
  </si>
  <si>
    <t xml:space="preserve">Emissions are broken down by sector on a source-basis. For example, emissions from electricity generation are attributed to the electricity supply sector (where the emissions occur), rather than the sector in which the electricity is used.</t>
  </si>
  <si>
    <t xml:space="preserve">[note 5]</t>
  </si>
  <si>
    <t xml:space="preserve">Historical figures are aligned with the UK 1990-2023 GHG Inventory, and projections figures are also aligned with this.</t>
  </si>
  <si>
    <t xml:space="preserve">[note 6]</t>
  </si>
  <si>
    <t xml:space="preserve">We express emissions of non-CO2 greenhouse gases as the amount of carbon dioxide that would give rise to an equivalent global warming effect.</t>
  </si>
  <si>
    <t xml:space="preserve">[note 7]</t>
  </si>
  <si>
    <t xml:space="preserve">Performance against carbon budget targets is assessed by comparing the budget level against a metric called the UK “Net Carbon Account” (NCA). See 'Box 1' of the main EEP report for further information on how the NCA is calculated.</t>
  </si>
  <si>
    <t xml:space="preserve">[note 8]</t>
  </si>
  <si>
    <t xml:space="preserve">Figures refer to UK territorial emissions, meaning emissions within the UK’s borders. Crown Dependencies and UK Overseas Territories emissions are not included. International Aviation and Shipping (IAS) emissions are shown as a separate category. The sixth carbon budget is the first that includes international aviation and shipping (IAS) emissions. Since EEP 2021-2040, we have included this in key annex totals.</t>
  </si>
  <si>
    <t xml:space="preserve">[note 9]</t>
  </si>
  <si>
    <t xml:space="preserve">The International Aviation &amp; Shipping category does include transport between the UK, the Crown Dependencies (Isle of Man &amp; Channel Islands) and the UK Overseas Territories.</t>
  </si>
  <si>
    <t xml:space="preserve">[note 10]</t>
  </si>
  <si>
    <t xml:space="preserve">UK Carbon Budgets cover the following 5 year periods: 
CB1 2008-2012
CB2 2013-2017
CB3 2018-2022
CB4 2023-2027
CB5 2028-2032
CB6 2033-2037</t>
  </si>
  <si>
    <t xml:space="preserve">[note 11]</t>
  </si>
  <si>
    <t xml:space="preserve">For only the years 2023 to 2032 (the end of the fifth Carbon Budget period), the row 'Net Carbon Account territorial (exc. IAS)'  shows the Net Carbon Account calculation. As detailed in Box 1 of the report, the NCA for those years is defined as all UK territorial emissions and credits/debits from international trading systems (currently assumed to be zero).</t>
  </si>
  <si>
    <t xml:space="preserve">[note 12]</t>
  </si>
  <si>
    <t xml:space="preserve">For only 2033 to 2037 (the sixth Carbon Budget period), the row 'Net Carbon Account territorial (inc. IAS)' shows the Net Carbon Account calculation. For CB6, IAS emissions are included in accordance with the basis on which the budget was set.</t>
  </si>
  <si>
    <t xml:space="preserve">[note 13]</t>
  </si>
  <si>
    <t xml:space="preserve">Territorial Emissions Statistics (TES) sectoral definitions are detailed in the Final UK greenhouse gas emissions national statistics: 1990 to 2023 statistical release.</t>
  </si>
  <si>
    <t xml:space="preserve">Reference - Annex A (TES sectors) - Greenhouse gas emissions by source (Territorial Emissions Statistics sectors)</t>
  </si>
  <si>
    <t xml:space="preserve">This worksheet contains one table. Some cells refer to notes which can be found on the notes worksheet. Note markers are presented in square brackets, for example: [note 1].</t>
  </si>
  <si>
    <t xml:space="preserve">GHG</t>
  </si>
  <si>
    <t xml:space="preserve">coverage</t>
  </si>
  <si>
    <t xml:space="preserve">units</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</si>
  <si>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</si>
  <si>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</si>
  <si>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</si>
  <si>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</si>
  <si>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</si>
  <si>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</si>
  <si>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</si>
  <si>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</si>
  <si>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</si>
  <si>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</si>
  <si>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</si>
  <si>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</si>
  <si>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</si>
  <si>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</si>
  <si>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</si>
  <si>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</si>
  <si>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</si>
  <si>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</si>
  <si>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</si>
  <si>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</si>
  <si>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</si>
  <si>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</si>
  <si>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</si>
  <si>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</si>
  <si>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</si>
  <si>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</si>
  <si>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</si>
  <si>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</si>
  <si>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</si>
  <si>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</si>
  <si>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</si>
  <si>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</si>
  <si>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</si>
  <si>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</si>
  <si>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</si>
  <si>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</si>
  <si>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</si>
  <si>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</si>
  <si>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</si>
  <si>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</si>
  <si>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</si>
  <si>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</si>
  <si>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</si>
  <si>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</si>
  <si>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</si>
  <si>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</si>
  <si>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</si>
  <si>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</si>
  <si>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</si>
  <si>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</si>
  <si>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</si>
  <si>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</si>
  <si>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</si>
  <si>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</si>
  <si>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</si>
  <si>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</si>
  <si>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</si>
  <si>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</si>
  <si>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</si>
  <si>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</si>
  <si>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</si>
  <si>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CB4</t>
  </si>
  <si>
    <t xml:space="preserve">CB5</t>
  </si>
  <si>
    <t xml:space="preserve">CB6</t>
  </si>
  <si>
    <t xml:space="preserve">CB7</t>
  </si>
  <si>
    <t xml:space="preserve">GHG (All)</t>
  </si>
  <si>
    <t xml:space="preserve">Total emissions (exc. IAS)</t>
  </si>
  <si>
    <t xml:space="preserve">MtCO2e</t>
  </si>
  <si>
    <t xml:space="preserve">Total emissions (inc. IAS)</t>
  </si>
  <si>
    <t xml:space="preserve">Net Carbon Account Applied</t>
  </si>
  <si>
    <t xml:space="preserve">Net Carbon Account territorial (exc. IAS)</t>
  </si>
  <si>
    <t xml:space="preserve">Net Carbon Account territorial (inc. IAS)</t>
  </si>
  <si>
    <t xml:space="preserve">Agriculture</t>
  </si>
  <si>
    <t xml:space="preserve">Buildings and product uses</t>
  </si>
  <si>
    <t xml:space="preserve">Domestic Transport</t>
  </si>
  <si>
    <t xml:space="preserve">Electricity supply</t>
  </si>
  <si>
    <t xml:space="preserve">Fuel supply</t>
  </si>
  <si>
    <t xml:space="preserve">IAS</t>
  </si>
  <si>
    <t xml:space="preserve">Industry</t>
  </si>
  <si>
    <t xml:space="preserve">LULUCF</t>
  </si>
  <si>
    <t xml:space="preserve">Waste</t>
  </si>
  <si>
    <t xml:space="preserve">CO2</t>
  </si>
  <si>
    <t xml:space="preserve">CH4</t>
  </si>
  <si>
    <t xml:space="preserve">N2O</t>
  </si>
  <si>
    <t xml:space="preserve">HFCs</t>
  </si>
  <si>
    <t xml:space="preserve">PFCs</t>
  </si>
  <si>
    <t xml:space="preserve">SF6</t>
  </si>
  <si>
    <t xml:space="preserve">NF3</t>
  </si>
  <si>
    <t xml:space="preserve">Fossil Fuel Prices - Low - Annex A (TES sectors) - Greenhouse gas emissions by source (Territorial Emissions Statistics sectors)</t>
  </si>
  <si>
    <t xml:space="preserve">Fossil Fuel Prices - High - Annex A (TES sectors) - Greenhouse gas emissions by source (Territorial Emissions Statistics sectors)</t>
  </si>
  <si>
    <t xml:space="preserve">Economic Growth - Low - Annex A (TES sectors) - Greenhouse gas emissions by source (Territorial Emissions Statistics sectors)</t>
  </si>
  <si>
    <t xml:space="preserve">Economic Growth - High - Annex A (TES sectors) - Greenhouse gas emissions by source (Territorial Emissions Statistics sectors)</t>
  </si>
  <si>
    <t xml:space="preserve">With Existing Measures - Annex A (TES sectors) - Greenhouse gas emissions by source (Territorial Emissions Statistics sectors)</t>
  </si>
</sst>
</file>

<file path=xl/styles.xml><?xml version="1.0" encoding="utf-8"?>
<styleSheet xmlns="http://schemas.openxmlformats.org/spreadsheetml/2006/main">
  <numFmts count="2">
    <numFmt numFmtId="164" formatCode="General"/>
    <numFmt numFmtId="165" formatCode="#,##0;\-#,##0;\-"/>
  </numFmts>
  <fonts count="8">
    <font>
      <sz val="11"/>
      <color rgb="FF000000"/>
      <name val="Calibri"/>
      <family val="0"/>
      <charset val="134"/>
    </font>
    <font>
      <sz val="10"/>
      <name val="Arial"/>
      <family val="0"/>
      <charset val="134"/>
    </font>
    <font>
      <sz val="10"/>
      <name val="Arial"/>
      <family val="0"/>
      <charset val="134"/>
    </font>
    <font>
      <sz val="10"/>
      <name val="Arial"/>
      <family val="0"/>
      <charset val="134"/>
    </font>
    <font>
      <b val="true"/>
      <sz val="16"/>
      <color rgb="FF000000"/>
      <name val="Calibri"/>
      <family val="0"/>
      <charset val="134"/>
    </font>
    <font>
      <b val="true"/>
      <sz val="14"/>
      <color rgb="FF000000"/>
      <name val="Calibri"/>
      <family val="0"/>
      <charset val="134"/>
    </font>
    <font>
      <u val="single"/>
      <sz val="11"/>
      <color rgb="FF0000FF"/>
      <name val="Calibri"/>
      <family val="0"/>
      <charset val="134"/>
    </font>
    <font>
      <b val="true"/>
      <sz val="11"/>
      <color rgb="FF000000"/>
      <name val="Calibri"/>
      <family val="0"/>
      <charset val="134"/>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标题 1" xfId="20"/>
  </cellStyles>
  <dxfs count="3">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annexa_tes_existing" displayName="annexa_tes_existing"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2.xml><?xml version="1.0" encoding="utf-8"?>
<table xmlns="http://schemas.openxmlformats.org/spreadsheetml/2006/main" id="2" name="annexa_tes_ffp_high" displayName="annexa_tes_ffp_high"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3.xml><?xml version="1.0" encoding="utf-8"?>
<table xmlns="http://schemas.openxmlformats.org/spreadsheetml/2006/main" id="3" name="annexa_tes_ffp_low" displayName="annexa_tes_ffp_low"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4.xml><?xml version="1.0" encoding="utf-8"?>
<table xmlns="http://schemas.openxmlformats.org/spreadsheetml/2006/main" id="4" name="annexa_tes_gdp_high" displayName="annexa_tes_gdp_high"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5.xml><?xml version="1.0" encoding="utf-8"?>
<table xmlns="http://schemas.openxmlformats.org/spreadsheetml/2006/main" id="5" name="annexa_tes_gdp_low" displayName="annexa_tes_gdp_low"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6.xml><?xml version="1.0" encoding="utf-8"?>
<table xmlns="http://schemas.openxmlformats.org/spreadsheetml/2006/main" id="6" name="annexa_tes_notes" displayName="annexa_tes_notes" ref="A3:C16" headerRowCount="1" totalsRowCount="0" totalsRowShown="0">
  <tableColumns count="3">
    <tableColumn id="1" name="note"/>
    <tableColumn id="2" name="Note text"/>
    <tableColumn id="3" name="Link"/>
  </tableColumns>
</table>
</file>

<file path=xl/tables/table7.xml><?xml version="1.0" encoding="utf-8"?>
<table xmlns="http://schemas.openxmlformats.org/spreadsheetml/2006/main" id="7" name="annexa_tes_reference" displayName="annexa_tes_reference" ref="A3:BQ94" headerRowCount="1" totalsRowCount="0" totalsRowShown="0">
  <tableColumns count="69">
    <tableColumn id="1" name="GHG"/>
    <tableColumn id="2" name="coverage"/>
    <tableColumn id="3" name="units"/>
    <tableColumn id="4" name="note"/>
    <tableColumn id="5" name="1990"/>
    <tableColumn id="6" name="1991"/>
    <tableColumn id="7" name="1992"/>
    <tableColumn id="8" name="1993"/>
    <tableColumn id="9" name="1994"/>
    <tableColumn id="10" name="1995"/>
    <tableColumn id="11" name="1996"/>
    <tableColumn id="12" name="1997"/>
    <tableColumn id="13" name="1998"/>
    <tableColumn id="14" name="1999"/>
    <tableColumn id="15" name="2000"/>
    <tableColumn id="16" name="2001"/>
    <tableColumn id="17" name="2002"/>
    <tableColumn id="18" name="2003"/>
    <tableColumn id="19" name="2004"/>
    <tableColumn id="20" name="2005"/>
    <tableColumn id="21" name="2006"/>
    <tableColumn id="22" name="2007"/>
    <tableColumn id="23" name="2008"/>
    <tableColumn id="24" name="2009"/>
    <tableColumn id="25" name="2010"/>
    <tableColumn id="26" name="2011"/>
    <tableColumn id="27" name="2012"/>
    <tableColumn id="28" name="2013"/>
    <tableColumn id="29" name="2014"/>
    <tableColumn id="30" name="2015"/>
    <tableColumn id="31" name="2016"/>
    <tableColumn id="32" name="2017"/>
    <tableColumn id="33" name="2018"/>
    <tableColumn id="34" name="2019"/>
    <tableColumn id="35" name="2020"/>
    <tableColumn id="36" name="2021"/>
    <tableColumn id="37" name="2022"/>
    <tableColumn id="38" name="2023"/>
    <tableColumn id="39" name="2024"/>
    <tableColumn id="40" name="2025"/>
    <tableColumn id="41" name="2026"/>
    <tableColumn id="42" name="2027"/>
    <tableColumn id="43" name="2028"/>
    <tableColumn id="44" name="2029"/>
    <tableColumn id="45" name="2030"/>
    <tableColumn id="46" name="2031"/>
    <tableColumn id="47" name="2032"/>
    <tableColumn id="48" name="2033"/>
    <tableColumn id="49" name="2034"/>
    <tableColumn id="50" name="2035"/>
    <tableColumn id="51" name="2036"/>
    <tableColumn id="52" name="2037"/>
    <tableColumn id="53" name="2038"/>
    <tableColumn id="54" name="2039"/>
    <tableColumn id="55" name="2040"/>
    <tableColumn id="56" name="2041"/>
    <tableColumn id="57" name="2042"/>
    <tableColumn id="58" name="2043"/>
    <tableColumn id="59" name="2044"/>
    <tableColumn id="60" name="2045"/>
    <tableColumn id="61" name="2046"/>
    <tableColumn id="62" name="2047"/>
    <tableColumn id="63" name="2048"/>
    <tableColumn id="64" name="2049"/>
    <tableColumn id="65" name="2050"/>
    <tableColumn id="66" name="CB4"/>
    <tableColumn id="67" name="CB5"/>
    <tableColumn id="68" name="CB6"/>
    <tableColumn id="69" name="CB7"/>
  </tableColumns>
</table>
</file>

<file path=xl/tables/table8.xml><?xml version="1.0" encoding="utf-8"?>
<table xmlns="http://schemas.openxmlformats.org/spreadsheetml/2006/main" id="8" name="annexa_tes_table_of_contents" displayName="annexa_tes_table_of_contents" ref="A3:G9" headerRowCount="1" totalsRowCount="0" totalsRowShown="0">
  <tableColumns count="7">
    <tableColumn id="1" name="scenario"/>
    <tableColumn id="2" name="Scenario name"/>
    <tableColumn id="3" name="Scenario Description"/>
    <tableColumn id="4" name="Fossil fuel price assumptions"/>
    <tableColumn id="5" name="Economic assumptions"/>
    <tableColumn id="6" name="Policy assumptions"/>
    <tableColumn id="7" name="GWPs"/>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8.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29.55"/>
    <col collapsed="false" customWidth="false" hidden="false" outlineLevel="0" max="16384" min="2" style="1" width="10.81"/>
  </cols>
  <sheetData>
    <row r="1" customFormat="false" ht="19.7" hidden="false" customHeight="false" outlineLevel="0" collapsed="false">
      <c r="A1" s="2" t="s">
        <v>0</v>
      </c>
    </row>
    <row r="2" customFormat="false" ht="13.8" hidden="false" customHeight="false" outlineLevel="0" collapsed="false">
      <c r="A2" s="3" t="s">
        <v>1</v>
      </c>
    </row>
    <row r="3" customFormat="false" ht="23.3" hidden="false" customHeight="false" outlineLevel="0" collapsed="false">
      <c r="A3" s="3" t="s">
        <v>2</v>
      </c>
    </row>
    <row r="4" customFormat="false" ht="17.35" hidden="false" customHeight="false" outlineLevel="0" collapsed="false">
      <c r="A4" s="4" t="s">
        <v>3</v>
      </c>
    </row>
    <row r="5" customFormat="false" ht="13.8" hidden="false" customHeight="false" outlineLevel="0" collapsed="false">
      <c r="A5" s="3" t="s">
        <v>4</v>
      </c>
    </row>
    <row r="6" customFormat="false" ht="17.35" hidden="false" customHeight="false" outlineLevel="0" collapsed="false">
      <c r="A6" s="4" t="s">
        <v>5</v>
      </c>
    </row>
    <row r="7" customFormat="false" ht="13.8" hidden="false" customHeight="false" outlineLevel="0" collapsed="false">
      <c r="A7" s="3" t="s">
        <v>6</v>
      </c>
    </row>
    <row r="8" customFormat="false" ht="17.35" hidden="false" customHeight="false" outlineLevel="0" collapsed="false">
      <c r="A8" s="4" t="s">
        <v>7</v>
      </c>
    </row>
    <row r="9" customFormat="false" ht="13.8" hidden="false" customHeight="false" outlineLevel="0" collapsed="false">
      <c r="A9" s="5" t="str">
        <f aca="false">HYPERLINK("https://www.gov.uk/government/collections/energy-and-emissions-projections","Energy and emissions projections")</f>
        <v>Energy and emissions projections</v>
      </c>
    </row>
    <row r="10" customFormat="false" ht="17.35" hidden="false" customHeight="false" outlineLevel="0" collapsed="false">
      <c r="A10" s="4" t="s">
        <v>8</v>
      </c>
    </row>
    <row r="11" customFormat="false" ht="13.8" hidden="false" customHeight="false" outlineLevel="0" collapsed="false">
      <c r="A11" s="5" t="str">
        <f aca="false">HYPERLINK("https://www.gov.uk/government/organisations/department-for-energy-security-and-net-zero","Department for Energy Security &amp; Net Zero")</f>
        <v>Department for Energy Security &amp; Net Zero</v>
      </c>
    </row>
    <row r="12" customFormat="false" ht="17.35" hidden="false" customHeight="false" outlineLevel="0" collapsed="false">
      <c r="A12" s="4" t="s">
        <v>9</v>
      </c>
    </row>
    <row r="13" customFormat="false" ht="13.8" hidden="false" customHeight="false" outlineLevel="0" collapsed="false">
      <c r="A13" s="5" t="str">
        <f aca="false">HYPERLINK("mailto:emissionsprojections@energysecurity.gov.uk","emissionsprojections@energysecurity.gov.uk")</f>
        <v>emissionsprojections@energysecurity.gov.uk</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8.56"/>
    <col collapsed="false" customWidth="true" hidden="false" outlineLevel="0" max="2" min="2" style="1" width="28.47"/>
    <col collapsed="false" customWidth="true" hidden="false" outlineLevel="0" max="3" min="3" style="1" width="45.31"/>
    <col collapsed="false" customWidth="true" hidden="false" outlineLevel="0" max="7" min="4" style="1" width="24.51"/>
    <col collapsed="false" customWidth="false" hidden="false" outlineLevel="0" max="16384" min="8" style="1" width="10.81"/>
  </cols>
  <sheetData>
    <row r="1" customFormat="false" ht="19.7" hidden="false" customHeight="false" outlineLevel="0" collapsed="false">
      <c r="A1" s="6" t="s">
        <v>10</v>
      </c>
    </row>
    <row r="2" customFormat="false" ht="13.8" hidden="false" customHeight="false" outlineLevel="0" collapsed="false">
      <c r="A2" s="1" t="s">
        <v>11</v>
      </c>
    </row>
    <row r="3" customFormat="false" ht="13.8" hidden="false" customHeight="false" outlineLevel="0" collapsed="false">
      <c r="A3" s="7" t="s">
        <v>12</v>
      </c>
      <c r="B3" s="7" t="s">
        <v>13</v>
      </c>
      <c r="C3" s="7" t="s">
        <v>14</v>
      </c>
      <c r="D3" s="7" t="s">
        <v>15</v>
      </c>
      <c r="E3" s="7" t="s">
        <v>16</v>
      </c>
      <c r="F3" s="7" t="s">
        <v>17</v>
      </c>
      <c r="G3" s="7" t="s">
        <v>18</v>
      </c>
    </row>
    <row r="4" customFormat="false" ht="13.8" hidden="false" customHeight="false" outlineLevel="0" collapsed="false">
      <c r="A4" s="8" t="str">
        <f aca="false">HYPERLINK("#Reference!A1","Reference")</f>
        <v>Reference</v>
      </c>
      <c r="B4" s="9" t="s">
        <v>19</v>
      </c>
      <c r="C4" s="9" t="s">
        <v>19</v>
      </c>
      <c r="D4" s="9" t="s">
        <v>20</v>
      </c>
      <c r="E4" s="9" t="s">
        <v>20</v>
      </c>
      <c r="F4" s="9" t="s">
        <v>21</v>
      </c>
      <c r="G4" s="9" t="s">
        <v>22</v>
      </c>
    </row>
    <row r="5" customFormat="false" ht="13.8" hidden="false" customHeight="false" outlineLevel="0" collapsed="false">
      <c r="A5" s="8" t="str">
        <f aca="false">HYPERLINK("#FFP_Low!A1","FFP_Low")</f>
        <v>FFP_Low</v>
      </c>
      <c r="B5" s="9" t="s">
        <v>23</v>
      </c>
      <c r="C5" s="9" t="s">
        <v>24</v>
      </c>
      <c r="D5" s="9" t="s">
        <v>25</v>
      </c>
      <c r="E5" s="9" t="s">
        <v>20</v>
      </c>
      <c r="F5" s="9" t="s">
        <v>21</v>
      </c>
      <c r="G5" s="9" t="s">
        <v>22</v>
      </c>
    </row>
    <row r="6" customFormat="false" ht="13.8" hidden="false" customHeight="false" outlineLevel="0" collapsed="false">
      <c r="A6" s="8" t="str">
        <f aca="false">HYPERLINK("#FFP_High!A1","FFP_High")</f>
        <v>FFP_High</v>
      </c>
      <c r="B6" s="9" t="s">
        <v>26</v>
      </c>
      <c r="C6" s="9" t="s">
        <v>27</v>
      </c>
      <c r="D6" s="9" t="s">
        <v>28</v>
      </c>
      <c r="E6" s="9" t="s">
        <v>20</v>
      </c>
      <c r="F6" s="9" t="s">
        <v>21</v>
      </c>
      <c r="G6" s="9" t="s">
        <v>22</v>
      </c>
    </row>
    <row r="7" customFormat="false" ht="13.8" hidden="false" customHeight="false" outlineLevel="0" collapsed="false">
      <c r="A7" s="8" t="str">
        <f aca="false">HYPERLINK("#GDP_Low!A1","GDP_Low")</f>
        <v>GDP_Low</v>
      </c>
      <c r="B7" s="9" t="s">
        <v>29</v>
      </c>
      <c r="C7" s="9" t="s">
        <v>30</v>
      </c>
      <c r="D7" s="9" t="s">
        <v>20</v>
      </c>
      <c r="E7" s="9" t="s">
        <v>25</v>
      </c>
      <c r="F7" s="9" t="s">
        <v>21</v>
      </c>
      <c r="G7" s="9" t="s">
        <v>22</v>
      </c>
    </row>
    <row r="8" customFormat="false" ht="13.8" hidden="false" customHeight="false" outlineLevel="0" collapsed="false">
      <c r="A8" s="8" t="str">
        <f aca="false">HYPERLINK("#GDP_High!A1","GDP_High")</f>
        <v>GDP_High</v>
      </c>
      <c r="B8" s="9" t="s">
        <v>31</v>
      </c>
      <c r="C8" s="9" t="s">
        <v>32</v>
      </c>
      <c r="D8" s="9" t="s">
        <v>20</v>
      </c>
      <c r="E8" s="9" t="s">
        <v>28</v>
      </c>
      <c r="F8" s="9" t="s">
        <v>21</v>
      </c>
      <c r="G8" s="9" t="s">
        <v>22</v>
      </c>
    </row>
    <row r="9" customFormat="false" ht="13.8" hidden="false" customHeight="false" outlineLevel="0" collapsed="false">
      <c r="A9" s="8" t="str">
        <f aca="false">HYPERLINK("#Existing!A1","Existing")</f>
        <v>Existing</v>
      </c>
      <c r="B9" s="9" t="s">
        <v>33</v>
      </c>
      <c r="C9" s="9" t="s">
        <v>34</v>
      </c>
      <c r="D9" s="9" t="s">
        <v>20</v>
      </c>
      <c r="E9" s="9" t="s">
        <v>20</v>
      </c>
      <c r="F9" s="9" t="s">
        <v>35</v>
      </c>
      <c r="G9" s="9" t="s">
        <v>22</v>
      </c>
    </row>
    <row r="10" customFormat="false" ht="13.8" hidden="false" customHeight="false" outlineLevel="0" collapsed="false">
      <c r="A10" s="9"/>
      <c r="B10" s="9"/>
      <c r="C10" s="9"/>
      <c r="D10" s="9"/>
      <c r="E10" s="9"/>
      <c r="F10" s="9"/>
      <c r="G10" s="9"/>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4.6"/>
    <col collapsed="false" customWidth="true" hidden="false" outlineLevel="0" max="2" min="2" style="1" width="124.6"/>
    <col collapsed="false" customWidth="true" hidden="false" outlineLevel="0" max="3" min="3" style="1" width="80"/>
    <col collapsed="false" customWidth="false" hidden="false" outlineLevel="0" max="16384" min="4" style="1" width="10.81"/>
  </cols>
  <sheetData>
    <row r="1" customFormat="false" ht="19.7" hidden="false" customHeight="false" outlineLevel="0" collapsed="false">
      <c r="A1" s="6" t="s">
        <v>36</v>
      </c>
    </row>
    <row r="2" customFormat="false" ht="13.8" hidden="false" customHeight="false" outlineLevel="0" collapsed="false">
      <c r="A2" s="1" t="s">
        <v>37</v>
      </c>
    </row>
    <row r="3" customFormat="false" ht="13.8" hidden="false" customHeight="false" outlineLevel="0" collapsed="false">
      <c r="A3" s="7" t="s">
        <v>38</v>
      </c>
      <c r="B3" s="7" t="s">
        <v>39</v>
      </c>
      <c r="C3" s="7" t="s">
        <v>40</v>
      </c>
    </row>
    <row r="4" customFormat="false" ht="13.8" hidden="false" customHeight="false" outlineLevel="0" collapsed="false">
      <c r="A4" s="9" t="s">
        <v>41</v>
      </c>
      <c r="B4" s="9" t="s">
        <v>42</v>
      </c>
      <c r="C4" s="8"/>
    </row>
    <row r="5" customFormat="false" ht="13.8" hidden="false" customHeight="false" outlineLevel="0" collapsed="false">
      <c r="A5" s="9" t="s">
        <v>43</v>
      </c>
      <c r="B5" s="9" t="s">
        <v>44</v>
      </c>
      <c r="C5" s="8"/>
    </row>
    <row r="6" customFormat="false" ht="13.8" hidden="false" customHeight="false" outlineLevel="0" collapsed="false">
      <c r="A6" s="9" t="s">
        <v>45</v>
      </c>
      <c r="B6" s="9" t="s">
        <v>46</v>
      </c>
      <c r="C6" s="8" t="str">
        <f aca="false">HYPERLINK("https://www.ipcc.ch/report/ar5/syr/","AR5 without feedback is defined  in IPCC (2013), Assessment Report 5 WGI Chapter 8 table 8.A.1")</f>
        <v>AR5 without feedback is defined  in IPCC (2013), Assessment Report 5 WGI Chapter 8 table 8.A.1</v>
      </c>
    </row>
    <row r="7" customFormat="false" ht="23.3" hidden="false" customHeight="false" outlineLevel="0" collapsed="false">
      <c r="A7" s="9" t="s">
        <v>47</v>
      </c>
      <c r="B7" s="9" t="s">
        <v>48</v>
      </c>
      <c r="C7" s="8"/>
    </row>
    <row r="8" customFormat="false" ht="13.8" hidden="false" customHeight="false" outlineLevel="0" collapsed="false">
      <c r="A8" s="9" t="s">
        <v>49</v>
      </c>
      <c r="B8" s="9" t="s">
        <v>50</v>
      </c>
      <c r="C8" s="8" t="str">
        <f aca="false">HYPERLINK("https://www.gov.uk/government/statistics/final-uk-greenhouse-gas-emissions-statistics-1990-to-2023","UK GHG emissions National Statistics 1990-2023")</f>
        <v>UK GHG emissions National Statistics 1990-2023</v>
      </c>
    </row>
    <row r="9" customFormat="false" ht="13.8" hidden="false" customHeight="false" outlineLevel="0" collapsed="false">
      <c r="A9" s="9" t="s">
        <v>51</v>
      </c>
      <c r="B9" s="9" t="s">
        <v>52</v>
      </c>
      <c r="C9" s="8"/>
    </row>
    <row r="10" customFormat="false" ht="23.3" hidden="false" customHeight="false" outlineLevel="0" collapsed="false">
      <c r="A10" s="9" t="s">
        <v>53</v>
      </c>
      <c r="B10" s="9" t="s">
        <v>54</v>
      </c>
      <c r="C10" s="8"/>
    </row>
    <row r="11" customFormat="false" ht="34.2" hidden="false" customHeight="false" outlineLevel="0" collapsed="false">
      <c r="A11" s="9" t="s">
        <v>55</v>
      </c>
      <c r="B11" s="9" t="s">
        <v>56</v>
      </c>
      <c r="C11" s="8"/>
    </row>
    <row r="12" customFormat="false" ht="23.3" hidden="false" customHeight="false" outlineLevel="0" collapsed="false">
      <c r="A12" s="9" t="s">
        <v>57</v>
      </c>
      <c r="B12" s="9" t="s">
        <v>58</v>
      </c>
      <c r="C12" s="8"/>
    </row>
    <row r="13" customFormat="false" ht="77.8" hidden="false" customHeight="false" outlineLevel="0" collapsed="false">
      <c r="A13" s="9" t="s">
        <v>59</v>
      </c>
      <c r="B13" s="9" t="s">
        <v>60</v>
      </c>
      <c r="C13" s="8"/>
    </row>
    <row r="14" customFormat="false" ht="34.2" hidden="false" customHeight="false" outlineLevel="0" collapsed="false">
      <c r="A14" s="9" t="s">
        <v>61</v>
      </c>
      <c r="B14" s="9" t="s">
        <v>62</v>
      </c>
      <c r="C14" s="8"/>
    </row>
    <row r="15" customFormat="false" ht="23.3" hidden="false" customHeight="false" outlineLevel="0" collapsed="false">
      <c r="A15" s="9" t="s">
        <v>63</v>
      </c>
      <c r="B15" s="9" t="s">
        <v>64</v>
      </c>
      <c r="C15" s="8"/>
    </row>
    <row r="16" customFormat="false" ht="23.3" hidden="false" customHeight="false" outlineLevel="0" collapsed="false">
      <c r="A16" s="9" t="s">
        <v>65</v>
      </c>
      <c r="B16" s="9" t="s">
        <v>66</v>
      </c>
      <c r="C16" s="8" t="str">
        <f aca="false">HYPERLINK("https://www.gov.uk/government/statistics/final-uk-greenhouse-gas-emissions-statistics-1990-to-2023","UK 1990-2023 GHG Inventory")</f>
        <v>UK 1990-2023 GHG Inventory</v>
      </c>
    </row>
    <row r="17" customFormat="false" ht="13.8" hidden="false" customHeight="false" outlineLevel="0" collapsed="false">
      <c r="A17" s="9"/>
      <c r="B17" s="9"/>
      <c r="C17" s="9"/>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67</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v>
      </c>
      <c r="H4" s="11" t="n">
        <v>778.360752029278</v>
      </c>
      <c r="I4" s="11" t="n">
        <v>765.820753611057</v>
      </c>
      <c r="J4" s="11" t="n">
        <v>759.200161760264</v>
      </c>
      <c r="K4" s="11" t="n">
        <v>779.071811500093</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363.150082905754</v>
      </c>
      <c r="AO4" s="11" t="n">
        <v>355.265423903811</v>
      </c>
      <c r="AP4" s="11" t="n">
        <v>348.907854929247</v>
      </c>
      <c r="AQ4" s="11" t="n">
        <v>341.183234512029</v>
      </c>
      <c r="AR4" s="11" t="n">
        <v>334.358922448123</v>
      </c>
      <c r="AS4" s="11" t="n">
        <v>327.713982125617</v>
      </c>
      <c r="AT4" s="11" t="n">
        <v>320.429867491574</v>
      </c>
      <c r="AU4" s="11" t="n">
        <v>314.955861329269</v>
      </c>
      <c r="AV4" s="11" t="n">
        <v>310.284565982226</v>
      </c>
      <c r="AW4" s="11" t="n">
        <v>306.574221395534</v>
      </c>
      <c r="AX4" s="11" t="n">
        <v>303.407283864246</v>
      </c>
      <c r="AY4" s="11" t="n">
        <v>297.418389970588</v>
      </c>
      <c r="AZ4" s="11" t="n">
        <v>293.90633610234</v>
      </c>
      <c r="BA4" s="11" t="n">
        <v>291.15243711487</v>
      </c>
      <c r="BB4" s="11" t="n">
        <v>288.652384870752</v>
      </c>
      <c r="BC4" s="11" t="n">
        <v>287.413756420828</v>
      </c>
      <c r="BD4" s="11" t="n">
        <v>286.724428652939</v>
      </c>
      <c r="BE4" s="11" t="n">
        <v>286.391613291685</v>
      </c>
      <c r="BF4" s="11" t="n">
        <v>286.393949878503</v>
      </c>
      <c r="BG4" s="11" t="n">
        <v>286.915035053593</v>
      </c>
      <c r="BH4" s="11" t="n">
        <v>286.723568765024</v>
      </c>
      <c r="BI4" s="11" t="n">
        <v>287.564608785598</v>
      </c>
      <c r="BJ4" s="11" t="n">
        <v>288.295980261299</v>
      </c>
      <c r="BK4" s="11" t="n">
        <v>289.231830318914</v>
      </c>
      <c r="BL4" s="11" t="n">
        <v>289.25697485373</v>
      </c>
      <c r="BM4" s="11" t="n">
        <v>290.244906276984</v>
      </c>
      <c r="BN4" s="11" t="n">
        <v>1824.05540520418</v>
      </c>
      <c r="BO4" s="11" t="n">
        <v>1638.64186790661</v>
      </c>
      <c r="BP4" s="11" t="n">
        <v>1511.59079731493</v>
      </c>
      <c r="BQ4" s="11" t="n">
        <v>1440.33462035107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405.820995243062</v>
      </c>
      <c r="AO5" s="11" t="n">
        <v>397.416990031367</v>
      </c>
      <c r="AP5" s="11" t="n">
        <v>390.880239750524</v>
      </c>
      <c r="AQ5" s="11" t="n">
        <v>382.206754528308</v>
      </c>
      <c r="AR5" s="11" t="n">
        <v>375.630214182967</v>
      </c>
      <c r="AS5" s="11" t="n">
        <v>367.969033106317</v>
      </c>
      <c r="AT5" s="11" t="n">
        <v>360.604304620317</v>
      </c>
      <c r="AU5" s="11" t="n">
        <v>354.77074071117</v>
      </c>
      <c r="AV5" s="11" t="n">
        <v>349.397720465852</v>
      </c>
      <c r="AW5" s="11" t="n">
        <v>345.16629831218</v>
      </c>
      <c r="AX5" s="11" t="n">
        <v>341.791617002469</v>
      </c>
      <c r="AY5" s="11" t="n">
        <v>335.196531395245</v>
      </c>
      <c r="AZ5" s="11" t="n">
        <v>330.917241585146</v>
      </c>
      <c r="BA5" s="11" t="n">
        <v>327.987068330021</v>
      </c>
      <c r="BB5" s="11" t="n">
        <v>325.512140100051</v>
      </c>
      <c r="BC5" s="11" t="n">
        <v>323.989470167022</v>
      </c>
      <c r="BD5" s="11" t="n">
        <v>323.776781126681</v>
      </c>
      <c r="BE5" s="11" t="n">
        <v>323.97357566512</v>
      </c>
      <c r="BF5" s="11" t="n">
        <v>323.901389448084</v>
      </c>
      <c r="BG5" s="11" t="n">
        <v>324.118217849626</v>
      </c>
      <c r="BH5" s="11" t="n">
        <v>323.462890301364</v>
      </c>
      <c r="BI5" s="11" t="n">
        <v>323.81264938185</v>
      </c>
      <c r="BJ5" s="11" t="n">
        <v>323.831292585978</v>
      </c>
      <c r="BK5" s="11" t="n">
        <v>324.962883302709</v>
      </c>
      <c r="BL5" s="11" t="n">
        <v>323.861631639471</v>
      </c>
      <c r="BM5" s="11" t="n">
        <v>324.291346256252</v>
      </c>
      <c r="BN5" s="11" t="n">
        <v>2032.6562004937</v>
      </c>
      <c r="BO5" s="11" t="n">
        <v>1841.18104714908</v>
      </c>
      <c r="BP5" s="11" t="n">
        <v>1702.46940876089</v>
      </c>
      <c r="BQ5" s="11" t="n">
        <v>1625.23903538889</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363.150082905754</v>
      </c>
      <c r="AO6" s="11" t="n">
        <v>355.265423903811</v>
      </c>
      <c r="AP6" s="11" t="n">
        <v>348.907854929247</v>
      </c>
      <c r="AQ6" s="11" t="n">
        <v>341.183234512029</v>
      </c>
      <c r="AR6" s="11" t="n">
        <v>334.358922448123</v>
      </c>
      <c r="AS6" s="11" t="n">
        <v>327.713982125617</v>
      </c>
      <c r="AT6" s="11" t="n">
        <v>320.429867491574</v>
      </c>
      <c r="AU6" s="11" t="n">
        <v>314.955861329269</v>
      </c>
      <c r="AV6" s="11" t="n">
        <v>349.397720465852</v>
      </c>
      <c r="AW6" s="11" t="n">
        <v>345.16629831218</v>
      </c>
      <c r="AX6" s="11" t="n">
        <v>341.791617002469</v>
      </c>
      <c r="AY6" s="11" t="n">
        <v>335.196531395245</v>
      </c>
      <c r="AZ6" s="11" t="n">
        <v>330.917241585146</v>
      </c>
      <c r="BA6" s="11"/>
      <c r="BB6" s="11"/>
      <c r="BC6" s="11"/>
      <c r="BD6" s="11"/>
      <c r="BE6" s="11"/>
      <c r="BF6" s="11"/>
      <c r="BG6" s="11"/>
      <c r="BH6" s="11"/>
      <c r="BI6" s="11"/>
      <c r="BJ6" s="11"/>
      <c r="BK6" s="11"/>
      <c r="BL6" s="11"/>
      <c r="BM6" s="11"/>
      <c r="BN6" s="11" t="n">
        <v>1824.05540520418</v>
      </c>
      <c r="BO6" s="11" t="n">
        <v>1638.64186790661</v>
      </c>
      <c r="BP6" s="11" t="n">
        <v>1702.46940876089</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363.150082905754</v>
      </c>
      <c r="AO7" s="11" t="n">
        <v>355.265423903811</v>
      </c>
      <c r="AP7" s="11" t="n">
        <v>348.907854929247</v>
      </c>
      <c r="AQ7" s="11" t="n">
        <v>341.183234512029</v>
      </c>
      <c r="AR7" s="11" t="n">
        <v>334.358922448123</v>
      </c>
      <c r="AS7" s="11" t="n">
        <v>327.713982125617</v>
      </c>
      <c r="AT7" s="11" t="n">
        <v>320.429867491574</v>
      </c>
      <c r="AU7" s="11" t="n">
        <v>314.955861329269</v>
      </c>
      <c r="AV7" s="11"/>
      <c r="AW7" s="11"/>
      <c r="AX7" s="11"/>
      <c r="AY7" s="11"/>
      <c r="AZ7" s="11"/>
      <c r="BA7" s="11"/>
      <c r="BB7" s="11"/>
      <c r="BC7" s="11"/>
      <c r="BD7" s="11"/>
      <c r="BE7" s="11"/>
      <c r="BF7" s="11"/>
      <c r="BG7" s="11"/>
      <c r="BH7" s="11"/>
      <c r="BI7" s="11"/>
      <c r="BJ7" s="11"/>
      <c r="BK7" s="11"/>
      <c r="BL7" s="11"/>
      <c r="BM7" s="11"/>
      <c r="BN7" s="11" t="n">
        <v>1824.05540520418</v>
      </c>
      <c r="BO7" s="11" t="n">
        <v>1638.64186790661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349.397720465852</v>
      </c>
      <c r="AW8" s="11" t="n">
        <v>345.16629831218</v>
      </c>
      <c r="AX8" s="11" t="n">
        <v>341.791617002469</v>
      </c>
      <c r="AY8" s="11" t="n">
        <v>335.196531395245</v>
      </c>
      <c r="AZ8" s="11" t="n">
        <v>330.917241585146</v>
      </c>
      <c r="BA8" s="11"/>
      <c r="BB8" s="11"/>
      <c r="BC8" s="11"/>
      <c r="BD8" s="11"/>
      <c r="BE8" s="11"/>
      <c r="BF8" s="11"/>
      <c r="BG8" s="11"/>
      <c r="BH8" s="11"/>
      <c r="BI8" s="11"/>
      <c r="BJ8" s="11"/>
      <c r="BK8" s="11"/>
      <c r="BL8" s="11"/>
      <c r="BM8" s="11"/>
      <c r="BN8" s="11"/>
      <c r="BO8" s="11"/>
      <c r="BP8" s="11" t="n">
        <v>1702.46940876089</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93.7043511201761</v>
      </c>
      <c r="AJ10" s="11" t="n">
        <v>98.2009567177289</v>
      </c>
      <c r="AK10" s="11" t="n">
        <v>83.4998821959421</v>
      </c>
      <c r="AL10" s="11" t="n">
        <v>78.4758175684127</v>
      </c>
      <c r="AM10" s="11" t="n">
        <v>81.0366508749843</v>
      </c>
      <c r="AN10" s="11" t="n">
        <v>83.8432888471939</v>
      </c>
      <c r="AO10" s="11" t="n">
        <v>83.4150637862135</v>
      </c>
      <c r="AP10" s="11" t="n">
        <v>83.0472211287735</v>
      </c>
      <c r="AQ10" s="11" t="n">
        <v>82.5777958009562</v>
      </c>
      <c r="AR10" s="11" t="n">
        <v>82.4781322300465</v>
      </c>
      <c r="AS10" s="11" t="n">
        <v>82.162375325639</v>
      </c>
      <c r="AT10" s="11" t="n">
        <v>82.0065641461208</v>
      </c>
      <c r="AU10" s="11" t="n">
        <v>81.8533010620138</v>
      </c>
      <c r="AV10" s="11" t="n">
        <v>81.7710441913405</v>
      </c>
      <c r="AW10" s="11" t="n">
        <v>81.7182027556359</v>
      </c>
      <c r="AX10" s="11" t="n">
        <v>81.7199740582081</v>
      </c>
      <c r="AY10" s="11" t="n">
        <v>82.1150292321099</v>
      </c>
      <c r="AZ10" s="11" t="n">
        <v>82.1996968389523</v>
      </c>
      <c r="BA10" s="11" t="n">
        <v>82.4048635800097</v>
      </c>
      <c r="BB10" s="11" t="n">
        <v>82.6267667069753</v>
      </c>
      <c r="BC10" s="11" t="n">
        <v>82.8983697778108</v>
      </c>
      <c r="BD10" s="11" t="n">
        <v>83.2665206327564</v>
      </c>
      <c r="BE10" s="11" t="n">
        <v>83.4888917971714</v>
      </c>
      <c r="BF10" s="11" t="n">
        <v>83.6527288125775</v>
      </c>
      <c r="BG10" s="11" t="n">
        <v>84.0191871386868</v>
      </c>
      <c r="BH10" s="11" t="n">
        <v>84.0518877171182</v>
      </c>
      <c r="BI10" s="11" t="n">
        <v>84.1857841739208</v>
      </c>
      <c r="BJ10" s="11" t="n">
        <v>84.4611564113861</v>
      </c>
      <c r="BK10" s="11" t="n">
        <v>84.549537128311</v>
      </c>
      <c r="BL10" s="11" t="n">
        <v>84.5532425858907</v>
      </c>
      <c r="BM10" s="11" t="n">
        <v>84.5503891046146</v>
      </c>
      <c r="BN10" s="11" t="n">
        <v>409.818042205578</v>
      </c>
      <c r="BO10" s="11" t="n">
        <v>411.078168564776</v>
      </c>
      <c r="BP10" s="11" t="n">
        <v>409.523947076247</v>
      </c>
      <c r="BQ10" s="11" t="n">
        <v>414.685412494724</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116.525912843926</v>
      </c>
      <c r="AO11" s="11" t="n">
        <v>113.683673065113</v>
      </c>
      <c r="AP11" s="11" t="n">
        <v>110.627496929593</v>
      </c>
      <c r="AQ11" s="11" t="n">
        <v>106.21291998934</v>
      </c>
      <c r="AR11" s="11" t="n">
        <v>100.94196396916</v>
      </c>
      <c r="AS11" s="11" t="n">
        <v>94.662372105314</v>
      </c>
      <c r="AT11" s="11" t="n">
        <v>88.9014516453192</v>
      </c>
      <c r="AU11" s="11" t="n">
        <v>83.5641544146144</v>
      </c>
      <c r="AV11" s="11" t="n">
        <v>78.9416291224815</v>
      </c>
      <c r="AW11" s="11" t="n">
        <v>74.810722602423</v>
      </c>
      <c r="AX11" s="11" t="n">
        <v>71.1945407765974</v>
      </c>
      <c r="AY11" s="11" t="n">
        <v>67.9132790998794</v>
      </c>
      <c r="AZ11" s="11" t="n">
        <v>64.9690484650686</v>
      </c>
      <c r="BA11" s="11" t="n">
        <v>62.3753462139582</v>
      </c>
      <c r="BB11" s="11" t="n">
        <v>60.1740093409963</v>
      </c>
      <c r="BC11" s="11" t="n">
        <v>58.176593794626</v>
      </c>
      <c r="BD11" s="11" t="n">
        <v>56.5125288468301</v>
      </c>
      <c r="BE11" s="11" t="n">
        <v>55.048075444871</v>
      </c>
      <c r="BF11" s="11" t="n">
        <v>53.8943771096184</v>
      </c>
      <c r="BG11" s="11" t="n">
        <v>52.8858751009717</v>
      </c>
      <c r="BH11" s="11" t="n">
        <v>52.030818280127</v>
      </c>
      <c r="BI11" s="11" t="n">
        <v>51.3710831321966</v>
      </c>
      <c r="BJ11" s="11" t="n">
        <v>50.8019708047805</v>
      </c>
      <c r="BK11" s="11" t="n">
        <v>50.4713355691705</v>
      </c>
      <c r="BL11" s="11" t="n">
        <v>50.1419538055505</v>
      </c>
      <c r="BM11" s="11" t="n">
        <v>49.8833690620126</v>
      </c>
      <c r="BN11" s="11" t="n">
        <v>565.121145429734</v>
      </c>
      <c r="BO11" s="11" t="n">
        <v>474.282862123747</v>
      </c>
      <c r="BP11" s="11" t="n">
        <v>357.82922006645</v>
      </c>
      <c r="BQ11" s="11" t="n">
        <v>292.286553641282</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38.722355501135</v>
      </c>
      <c r="AN12" s="11" t="n">
        <v>26.8777794613616</v>
      </c>
      <c r="AO12" s="11" t="n">
        <v>24.5503124149467</v>
      </c>
      <c r="AP12" s="11" t="n">
        <v>22.0615246455058</v>
      </c>
      <c r="AQ12" s="11" t="n">
        <v>21.2853529289559</v>
      </c>
      <c r="AR12" s="11" t="n">
        <v>21.6004533801253</v>
      </c>
      <c r="AS12" s="11" t="n">
        <v>23.6639600617013</v>
      </c>
      <c r="AT12" s="11" t="n">
        <v>24.195269174666</v>
      </c>
      <c r="AU12" s="11" t="n">
        <v>25.3560940408866</v>
      </c>
      <c r="AV12" s="11" t="n">
        <v>26.7292772479328</v>
      </c>
      <c r="AW12" s="11" t="n">
        <v>28.1261297208766</v>
      </c>
      <c r="AX12" s="11" t="n">
        <v>29.2605566372262</v>
      </c>
      <c r="AY12" s="11" t="n">
        <v>28.4009072132439</v>
      </c>
      <c r="AZ12" s="11" t="n">
        <v>28.2656911961343</v>
      </c>
      <c r="BA12" s="11" t="n">
        <v>28.6062307278768</v>
      </c>
      <c r="BB12" s="11" t="n">
        <v>28.963272944769</v>
      </c>
      <c r="BC12" s="11" t="n">
        <v>29.5198812211676</v>
      </c>
      <c r="BD12" s="11" t="n">
        <v>30.8259775974562</v>
      </c>
      <c r="BE12" s="11" t="n">
        <v>32.4651850532375</v>
      </c>
      <c r="BF12" s="11" t="n">
        <v>33.7091332749598</v>
      </c>
      <c r="BG12" s="11" t="n">
        <v>34.9374692351014</v>
      </c>
      <c r="BH12" s="11" t="n">
        <v>35.5473048143818</v>
      </c>
      <c r="BI12" s="11" t="n">
        <v>36.716490827931</v>
      </c>
      <c r="BJ12" s="11" t="n">
        <v>37.7074584404175</v>
      </c>
      <c r="BK12" s="11" t="n">
        <v>39.0763344388822</v>
      </c>
      <c r="BL12" s="11" t="n">
        <v>39.6730553477563</v>
      </c>
      <c r="BM12" s="11" t="n">
        <v>40.9557563067436</v>
      </c>
      <c r="BN12" s="11" t="n">
        <v>156.145468792091</v>
      </c>
      <c r="BO12" s="11" t="n">
        <v>116.101129586335</v>
      </c>
      <c r="BP12" s="11" t="n">
        <v>140.782562015414</v>
      </c>
      <c r="BQ12" s="11" t="n">
        <v>150.380547544507</v>
      </c>
    </row>
    <row r="13" customFormat="false" ht="13.8" hidden="false" customHeight="false" outlineLevel="0" collapsed="false">
      <c r="A13" s="11" t="s">
        <v>137</v>
      </c>
      <c r="B13" s="11" t="s">
        <v>148</v>
      </c>
      <c r="C13" s="11" t="s">
        <v>139</v>
      </c>
      <c r="D13" s="12"/>
      <c r="E13" s="11" t="n">
        <v>77.1921705075374</v>
      </c>
      <c r="F13" s="11" t="n">
        <v>78.080806528045</v>
      </c>
      <c r="G13" s="11" t="n">
        <v>79.240786095642</v>
      </c>
      <c r="H13" s="11" t="n">
        <v>78.9274931034911</v>
      </c>
      <c r="I13" s="11" t="n">
        <v>71.4488522684982</v>
      </c>
      <c r="J13" s="11" t="n">
        <v>74.8462179844523</v>
      </c>
      <c r="K13" s="11" t="n">
        <v>74.6165741832361</v>
      </c>
      <c r="L13" s="11" t="n">
        <v>72.7018598920015</v>
      </c>
      <c r="M13" s="11" t="n">
        <v>71.0438362400115</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30.2658254695764</v>
      </c>
      <c r="AO13" s="11" t="n">
        <v>29.1932605657737</v>
      </c>
      <c r="AP13" s="11" t="n">
        <v>28.4544842620398</v>
      </c>
      <c r="AQ13" s="11" t="n">
        <v>27.4882280450994</v>
      </c>
      <c r="AR13" s="11" t="n">
        <v>26.5545715968214</v>
      </c>
      <c r="AS13" s="11" t="n">
        <v>25.1864098374098</v>
      </c>
      <c r="AT13" s="11" t="n">
        <v>23.7934098811212</v>
      </c>
      <c r="AU13" s="11" t="n">
        <v>22.9417320198205</v>
      </c>
      <c r="AV13" s="11" t="n">
        <v>21.84819398431</v>
      </c>
      <c r="AW13" s="11" t="n">
        <v>21.4106084762902</v>
      </c>
      <c r="AX13" s="11" t="n">
        <v>20.9778738156562</v>
      </c>
      <c r="AY13" s="11" t="n">
        <v>18.9773870688055</v>
      </c>
      <c r="AZ13" s="11" t="n">
        <v>18.4652089176503</v>
      </c>
      <c r="BA13" s="11" t="n">
        <v>17.9315170635426</v>
      </c>
      <c r="BB13" s="11" t="n">
        <v>17.137796947027</v>
      </c>
      <c r="BC13" s="11" t="n">
        <v>16.7884072894959</v>
      </c>
      <c r="BD13" s="11" t="n">
        <v>15.5103772494186</v>
      </c>
      <c r="BE13" s="11" t="n">
        <v>14.7021518243046</v>
      </c>
      <c r="BF13" s="11" t="n">
        <v>14.3862689944892</v>
      </c>
      <c r="BG13" s="11" t="n">
        <v>14.3160778580124</v>
      </c>
      <c r="BH13" s="11" t="n">
        <v>14.2357378137783</v>
      </c>
      <c r="BI13" s="11" t="n">
        <v>14.1851599609522</v>
      </c>
      <c r="BJ13" s="11" t="n">
        <v>14.1107690648716</v>
      </c>
      <c r="BK13" s="11" t="n">
        <v>13.8261216611143</v>
      </c>
      <c r="BL13" s="11" t="n">
        <v>13.4195977511561</v>
      </c>
      <c r="BM13" s="11" t="n">
        <v>13.2401066474921</v>
      </c>
      <c r="BN13" s="11" t="n">
        <v>148.888782018073</v>
      </c>
      <c r="BO13" s="11" t="n">
        <v>125.964351380272</v>
      </c>
      <c r="BP13" s="11" t="n">
        <v>101.679272262712</v>
      </c>
      <c r="BQ13" s="11" t="n">
        <v>82.0702503737888</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42.6709123373074</v>
      </c>
      <c r="AO14" s="11" t="n">
        <v>42.1515661275554</v>
      </c>
      <c r="AP14" s="11" t="n">
        <v>41.9723848212771</v>
      </c>
      <c r="AQ14" s="11" t="n">
        <v>41.0235200162787</v>
      </c>
      <c r="AR14" s="11" t="n">
        <v>41.2712917348442</v>
      </c>
      <c r="AS14" s="11" t="n">
        <v>40.2550509807</v>
      </c>
      <c r="AT14" s="11" t="n">
        <v>40.1744371287429</v>
      </c>
      <c r="AU14" s="11" t="n">
        <v>39.8148793819014</v>
      </c>
      <c r="AV14" s="11" t="n">
        <v>39.1131544836259</v>
      </c>
      <c r="AW14" s="11" t="n">
        <v>38.5920769166463</v>
      </c>
      <c r="AX14" s="11" t="n">
        <v>38.3843331382221</v>
      </c>
      <c r="AY14" s="11" t="n">
        <v>37.7781414246568</v>
      </c>
      <c r="AZ14" s="11" t="n">
        <v>37.0109054828062</v>
      </c>
      <c r="BA14" s="11" t="n">
        <v>36.8346312151507</v>
      </c>
      <c r="BB14" s="11" t="n">
        <v>36.859755229299</v>
      </c>
      <c r="BC14" s="11" t="n">
        <v>36.5757137461941</v>
      </c>
      <c r="BD14" s="11" t="n">
        <v>37.0523524737419</v>
      </c>
      <c r="BE14" s="11" t="n">
        <v>37.5819623734359</v>
      </c>
      <c r="BF14" s="11" t="n">
        <v>37.5074395695807</v>
      </c>
      <c r="BG14" s="11" t="n">
        <v>37.2031827960332</v>
      </c>
      <c r="BH14" s="11" t="n">
        <v>36.7393215363397</v>
      </c>
      <c r="BI14" s="11" t="n">
        <v>36.2480405962512</v>
      </c>
      <c r="BJ14" s="11" t="n">
        <v>35.5353123246789</v>
      </c>
      <c r="BK14" s="11" t="n">
        <v>35.731052983795</v>
      </c>
      <c r="BL14" s="11" t="n">
        <v>34.6046567857409</v>
      </c>
      <c r="BM14" s="11" t="n">
        <v>34.0464399792679</v>
      </c>
      <c r="BN14" s="11" t="n">
        <v>208.600795289523</v>
      </c>
      <c r="BO14" s="11" t="n">
        <v>202.539179242467</v>
      </c>
      <c r="BP14" s="11" t="n">
        <v>190.878611445957</v>
      </c>
      <c r="BQ14" s="11" t="n">
        <v>184.904415037821</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43.264905241902</v>
      </c>
      <c r="AN15" s="11" t="n">
        <v>40.9552715326769</v>
      </c>
      <c r="AO15" s="11" t="n">
        <v>40.2452129937763</v>
      </c>
      <c r="AP15" s="11" t="n">
        <v>40.2030173836479</v>
      </c>
      <c r="AQ15" s="11" t="n">
        <v>40.1502147537831</v>
      </c>
      <c r="AR15" s="11" t="n">
        <v>40.0991539472836</v>
      </c>
      <c r="AS15" s="11" t="n">
        <v>40.1178138899444</v>
      </c>
      <c r="AT15" s="11" t="n">
        <v>40.2367915532211</v>
      </c>
      <c r="AU15" s="11" t="n">
        <v>40.5148726810912</v>
      </c>
      <c r="AV15" s="11" t="n">
        <v>40.7325610234576</v>
      </c>
      <c r="AW15" s="11" t="n">
        <v>40.6348784940052</v>
      </c>
      <c r="AX15" s="11" t="n">
        <v>40.7126679478967</v>
      </c>
      <c r="AY15" s="11" t="n">
        <v>40.8016525078293</v>
      </c>
      <c r="AZ15" s="11" t="n">
        <v>41.1356602607097</v>
      </c>
      <c r="BA15" s="11" t="n">
        <v>41.3461863367852</v>
      </c>
      <c r="BB15" s="11" t="n">
        <v>41.6195148856207</v>
      </c>
      <c r="BC15" s="11" t="n">
        <v>42.2543998110385</v>
      </c>
      <c r="BD15" s="11" t="n">
        <v>43.0704458116325</v>
      </c>
      <c r="BE15" s="11" t="n">
        <v>43.4573741591134</v>
      </c>
      <c r="BF15" s="11" t="n">
        <v>43.8868288747714</v>
      </c>
      <c r="BG15" s="11" t="n">
        <v>44.2570904139388</v>
      </c>
      <c r="BH15" s="11" t="n">
        <v>44.7500578511869</v>
      </c>
      <c r="BI15" s="11" t="n">
        <v>45.3467549553927</v>
      </c>
      <c r="BJ15" s="11" t="n">
        <v>45.8100426003812</v>
      </c>
      <c r="BK15" s="11" t="n">
        <v>46.2964259420851</v>
      </c>
      <c r="BL15" s="11" t="n">
        <v>46.8419463965239</v>
      </c>
      <c r="BM15" s="11" t="n">
        <v>47.3748288570278</v>
      </c>
      <c r="BN15" s="11" t="n">
        <v>217.719487793488</v>
      </c>
      <c r="BO15" s="11" t="n">
        <v>201.118846825323</v>
      </c>
      <c r="BP15" s="11" t="n">
        <v>204.017420233898</v>
      </c>
      <c r="BQ15" s="11" t="n">
        <v>211.74792100419</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7.29888881565863</v>
      </c>
      <c r="L16" s="11" t="n">
        <v>6.74965008724044</v>
      </c>
      <c r="M16" s="11" t="n">
        <v>5.96165299469253</v>
      </c>
      <c r="N16" s="11" t="n">
        <v>6.07622611866308</v>
      </c>
      <c r="O16" s="11" t="n">
        <v>5.8165000617974</v>
      </c>
      <c r="P16" s="11" t="n">
        <v>5.17351914195232</v>
      </c>
      <c r="Q16" s="11" t="n">
        <v>4.3457864800215</v>
      </c>
      <c r="R16" s="11" t="n">
        <v>4.18559867581597</v>
      </c>
      <c r="S16" s="11" t="n">
        <v>3.32599036920681</v>
      </c>
      <c r="T16" s="11" t="n">
        <v>2.9562338693275</v>
      </c>
      <c r="U16" s="11" t="n">
        <v>2.53705519258907</v>
      </c>
      <c r="V16" s="11" t="n">
        <v>1.91003713291075</v>
      </c>
      <c r="W16" s="11" t="n">
        <v>1.22774903416888</v>
      </c>
      <c r="X16" s="11" t="n">
        <v>1.13558384043056</v>
      </c>
      <c r="Y16" s="11" t="n">
        <v>1.05006812917393</v>
      </c>
      <c r="Z16" s="11" t="n">
        <v>0.403891460082564</v>
      </c>
      <c r="AA16" s="11" t="n">
        <v>0.505346373580899</v>
      </c>
      <c r="AB16" s="11" t="n">
        <v>0.398968456201681</v>
      </c>
      <c r="AC16" s="11" t="n">
        <v>0.0720308545919073</v>
      </c>
      <c r="AD16" s="11" t="n">
        <v>-0.0617161466723142</v>
      </c>
      <c r="AE16" s="11" t="n">
        <v>0.295045210907603</v>
      </c>
      <c r="AF16" s="11" t="n">
        <v>0.0212098248235195</v>
      </c>
      <c r="AG16" s="11" t="n">
        <v>0.684754591408554</v>
      </c>
      <c r="AH16" s="11" t="n">
        <v>0.551649018647838</v>
      </c>
      <c r="AI16" s="11" t="n">
        <v>0.401275637288966</v>
      </c>
      <c r="AJ16" s="11" t="n">
        <v>0.235021339974388</v>
      </c>
      <c r="AK16" s="11" t="n">
        <v>0.541752124764709</v>
      </c>
      <c r="AL16" s="11" t="n">
        <v>1.11971398879782</v>
      </c>
      <c r="AM16" s="11" t="n">
        <v>0.772473937745446</v>
      </c>
      <c r="AN16" s="11" t="n">
        <v>0.85338772111931</v>
      </c>
      <c r="AO16" s="11" t="n">
        <v>0.941803891439629</v>
      </c>
      <c r="AP16" s="11" t="n">
        <v>1.05249354242531</v>
      </c>
      <c r="AQ16" s="11" t="n">
        <v>1.03922145167634</v>
      </c>
      <c r="AR16" s="11" t="n">
        <v>1.18494290131125</v>
      </c>
      <c r="AS16" s="11" t="n">
        <v>1.33687784699157</v>
      </c>
      <c r="AT16" s="11" t="n">
        <v>1.59385231293396</v>
      </c>
      <c r="AU16" s="11" t="n">
        <v>1.8600063221481</v>
      </c>
      <c r="AV16" s="11" t="n">
        <v>2.18002045240814</v>
      </c>
      <c r="AW16" s="11" t="n">
        <v>2.52245540334349</v>
      </c>
      <c r="AX16" s="11" t="n">
        <v>2.86269668185091</v>
      </c>
      <c r="AY16" s="11" t="n">
        <v>3.1910595289671</v>
      </c>
      <c r="AZ16" s="11" t="n">
        <v>3.48110002502241</v>
      </c>
      <c r="BA16" s="11" t="n">
        <v>3.70278702304934</v>
      </c>
      <c r="BB16" s="11" t="n">
        <v>3.92197933803403</v>
      </c>
      <c r="BC16" s="11" t="n">
        <v>4.10534913163693</v>
      </c>
      <c r="BD16" s="11" t="n">
        <v>4.29487024454034</v>
      </c>
      <c r="BE16" s="11" t="n">
        <v>4.41276908506391</v>
      </c>
      <c r="BF16" s="11" t="n">
        <v>4.48241621455591</v>
      </c>
      <c r="BG16" s="11" t="n">
        <v>4.51963787513381</v>
      </c>
      <c r="BH16" s="11" t="n">
        <v>4.51963829708352</v>
      </c>
      <c r="BI16" s="11" t="n">
        <v>4.54417530675067</v>
      </c>
      <c r="BJ16" s="11" t="n">
        <v>4.5413256061281</v>
      </c>
      <c r="BK16" s="11" t="n">
        <v>4.4904485985796</v>
      </c>
      <c r="BL16" s="11" t="n">
        <v>4.432307529618</v>
      </c>
      <c r="BM16" s="11" t="n">
        <v>4.35862189668962</v>
      </c>
      <c r="BN16" s="11" t="n">
        <v>4.73987308152751</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70.2851382107242</v>
      </c>
      <c r="F17" s="11" t="n">
        <v>71.151851599193</v>
      </c>
      <c r="G17" s="11" t="n">
        <v>71.3100141105853</v>
      </c>
      <c r="H17" s="11" t="n">
        <v>71.9864210312014</v>
      </c>
      <c r="I17" s="11" t="n">
        <v>72.4678954520795</v>
      </c>
      <c r="J17" s="11" t="n">
        <v>73.1884732530741</v>
      </c>
      <c r="K17" s="11" t="n">
        <v>73.837094103762</v>
      </c>
      <c r="L17" s="11" t="n">
        <v>73.4280783971221</v>
      </c>
      <c r="M17" s="11" t="n">
        <v>73.0234035710687</v>
      </c>
      <c r="N17" s="11" t="n">
        <v>70.5019423640304</v>
      </c>
      <c r="O17" s="11" t="n">
        <v>67.7097679254949</v>
      </c>
      <c r="P17" s="11" t="n">
        <v>65.3994841446134</v>
      </c>
      <c r="Q17" s="11" t="n">
        <v>64.9403304902157</v>
      </c>
      <c r="R17" s="11" t="n">
        <v>61.4927753474448</v>
      </c>
      <c r="S17" s="11" t="n">
        <v>56.830230673088</v>
      </c>
      <c r="T17" s="11" t="n">
        <v>54.5724508834385</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23.2815089852245</v>
      </c>
      <c r="AG17" s="11" t="n">
        <v>23.1253245940442</v>
      </c>
      <c r="AH17" s="11" t="n">
        <v>22.6426622638462</v>
      </c>
      <c r="AI17" s="11" t="n">
        <v>21.1336177423037</v>
      </c>
      <c r="AJ17" s="11" t="n">
        <v>20.070118805901</v>
      </c>
      <c r="AK17" s="11" t="n">
        <v>19.9737418305989</v>
      </c>
      <c r="AL17" s="11" t="n">
        <v>19.8666312812048</v>
      </c>
      <c r="AM17" s="11" t="n">
        <v>19.0389138671954</v>
      </c>
      <c r="AN17" s="11" t="n">
        <v>18.6720516619882</v>
      </c>
      <c r="AO17" s="11" t="n">
        <v>18.2554886202007</v>
      </c>
      <c r="AP17" s="11" t="n">
        <v>18.567895163075</v>
      </c>
      <c r="AQ17" s="11" t="n">
        <v>17.5966501636035</v>
      </c>
      <c r="AR17" s="11" t="n">
        <v>16.7425537234689</v>
      </c>
      <c r="AS17" s="11" t="n">
        <v>15.9382259401972</v>
      </c>
      <c r="AT17" s="11" t="n">
        <v>15.2275184180952</v>
      </c>
      <c r="AU17" s="11" t="n">
        <v>14.6004148871288</v>
      </c>
      <c r="AV17" s="11" t="n">
        <v>14.048664442749</v>
      </c>
      <c r="AW17" s="11" t="n">
        <v>13.5668920883837</v>
      </c>
      <c r="AX17" s="11" t="n">
        <v>13.1473344474649</v>
      </c>
      <c r="AY17" s="11" t="n">
        <v>12.7820473750998</v>
      </c>
      <c r="AZ17" s="11" t="n">
        <v>12.4632483975166</v>
      </c>
      <c r="BA17" s="11" t="n">
        <v>12.1868367778312</v>
      </c>
      <c r="BB17" s="11" t="n">
        <v>11.9490548829467</v>
      </c>
      <c r="BC17" s="11" t="n">
        <v>11.7468389629804</v>
      </c>
      <c r="BD17" s="11" t="n">
        <v>11.6333884809098</v>
      </c>
      <c r="BE17" s="11" t="n">
        <v>11.5494610935101</v>
      </c>
      <c r="BF17" s="11" t="n">
        <v>11.4926011563282</v>
      </c>
      <c r="BG17" s="11" t="n">
        <v>11.460575465964</v>
      </c>
      <c r="BH17" s="11" t="n">
        <v>11.4521137642813</v>
      </c>
      <c r="BI17" s="11" t="n">
        <v>11.4639103903603</v>
      </c>
      <c r="BJ17" s="11" t="n">
        <v>11.4941094018036</v>
      </c>
      <c r="BK17" s="11" t="n">
        <v>11.5411882308021</v>
      </c>
      <c r="BL17" s="11" t="n">
        <v>11.6039467491324</v>
      </c>
      <c r="BM17" s="11" t="n">
        <v>11.6812776690764</v>
      </c>
      <c r="BN17" s="11" t="n">
        <v>94.4009805936641</v>
      </c>
      <c r="BO17" s="11" t="n">
        <v>80.1053631324936</v>
      </c>
      <c r="BP17" s="11" t="n">
        <v>66.0081867512141</v>
      </c>
      <c r="BQ17" s="11" t="n">
        <v>59.0655801981782</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291.257867282488</v>
      </c>
      <c r="AN18" s="11" t="n">
        <v>283.851828482259</v>
      </c>
      <c r="AO18" s="11" t="n">
        <v>276.986678779335</v>
      </c>
      <c r="AP18" s="11" t="n">
        <v>270.849663125414</v>
      </c>
      <c r="AQ18" s="11" t="n">
        <v>264.758950481947</v>
      </c>
      <c r="AR18" s="11" t="n">
        <v>259.231736367456</v>
      </c>
      <c r="AS18" s="11" t="n">
        <v>253.904110879536</v>
      </c>
      <c r="AT18" s="11" t="n">
        <v>247.848596306903</v>
      </c>
      <c r="AU18" s="11" t="n">
        <v>243.650118733027</v>
      </c>
      <c r="AV18" s="11" t="n">
        <v>240.091737705589</v>
      </c>
      <c r="AW18" s="11" t="n">
        <v>237.350418051057</v>
      </c>
      <c r="AX18" s="11" t="n">
        <v>235.159688172986</v>
      </c>
      <c r="AY18" s="11" t="n">
        <v>230.126782780692</v>
      </c>
      <c r="AZ18" s="11" t="n">
        <v>227.589081931955</v>
      </c>
      <c r="BA18" s="11" t="n">
        <v>225.569810011419</v>
      </c>
      <c r="BB18" s="11" t="n">
        <v>223.751229935513</v>
      </c>
      <c r="BC18" s="11" t="n">
        <v>223.120960893185</v>
      </c>
      <c r="BD18" s="11" t="n">
        <v>223.024414074123</v>
      </c>
      <c r="BE18" s="11" t="n">
        <v>223.225135827781</v>
      </c>
      <c r="BF18" s="11" t="n">
        <v>223.666654496852</v>
      </c>
      <c r="BG18" s="11" t="n">
        <v>224.593657922265</v>
      </c>
      <c r="BH18" s="11" t="n">
        <v>224.786269982191</v>
      </c>
      <c r="BI18" s="11" t="n">
        <v>225.987338744032</v>
      </c>
      <c r="BJ18" s="11" t="n">
        <v>227.06888608741</v>
      </c>
      <c r="BK18" s="11" t="n">
        <v>228.339075914165</v>
      </c>
      <c r="BL18" s="11" t="n">
        <v>228.673213233638</v>
      </c>
      <c r="BM18" s="11" t="n">
        <v>229.946945701073</v>
      </c>
      <c r="BN18" s="11" t="n">
        <v>1425.76478366859</v>
      </c>
      <c r="BO18" s="11" t="n">
        <v>1269.39351276887</v>
      </c>
      <c r="BP18" s="11" t="n">
        <v>1170.31770864228</v>
      </c>
      <c r="BQ18" s="11" t="n">
        <v>1118.69155074202</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111.847053547748</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66.6756343230592</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v>
      </c>
      <c r="AM19" s="11" t="n">
        <v>55.5125083077318</v>
      </c>
      <c r="AN19" s="11" t="n">
        <v>54.6810417452145</v>
      </c>
      <c r="AO19" s="11" t="n">
        <v>54.0048106940214</v>
      </c>
      <c r="AP19" s="11" t="n">
        <v>54.1366689339633</v>
      </c>
      <c r="AQ19" s="11" t="n">
        <v>52.9241043885846</v>
      </c>
      <c r="AR19" s="11" t="n">
        <v>51.9236719206417</v>
      </c>
      <c r="AS19" s="11" t="n">
        <v>50.9066994715896</v>
      </c>
      <c r="AT19" s="11" t="n">
        <v>49.9642600172407</v>
      </c>
      <c r="AU19" s="11" t="n">
        <v>49.0278975263811</v>
      </c>
      <c r="AV19" s="11" t="n">
        <v>48.1766697941694</v>
      </c>
      <c r="AW19" s="11" t="n">
        <v>47.4419500158464</v>
      </c>
      <c r="AX19" s="11" t="n">
        <v>46.7170416645159</v>
      </c>
      <c r="AY19" s="11" t="n">
        <v>45.9969735344139</v>
      </c>
      <c r="AZ19" s="11" t="n">
        <v>45.3103578299251</v>
      </c>
      <c r="BA19" s="11" t="n">
        <v>44.7265240557228</v>
      </c>
      <c r="BB19" s="11" t="n">
        <v>44.160641521362</v>
      </c>
      <c r="BC19" s="11" t="n">
        <v>43.6376736637259</v>
      </c>
      <c r="BD19" s="11" t="n">
        <v>43.1222931947107</v>
      </c>
      <c r="BE19" s="11" t="n">
        <v>42.6472726085905</v>
      </c>
      <c r="BF19" s="11" t="n">
        <v>42.2396857609975</v>
      </c>
      <c r="BG19" s="11" t="n">
        <v>41.8533252948911</v>
      </c>
      <c r="BH19" s="11" t="n">
        <v>41.4833166372026</v>
      </c>
      <c r="BI19" s="11" t="n">
        <v>41.1302240899193</v>
      </c>
      <c r="BJ19" s="11" t="n">
        <v>40.7882900969819</v>
      </c>
      <c r="BK19" s="11" t="n">
        <v>40.467165549296</v>
      </c>
      <c r="BL19" s="11" t="n">
        <v>40.1706746077532</v>
      </c>
      <c r="BM19" s="11" t="n">
        <v>39.895740430284</v>
      </c>
      <c r="BN19" s="11" t="n">
        <v>275.350487651599</v>
      </c>
      <c r="BO19" s="11" t="n">
        <v>254.746633324438</v>
      </c>
      <c r="BP19" s="11" t="n">
        <v>233.642992838871</v>
      </c>
      <c r="BQ19" s="11" t="n">
        <v>218.294405044112</v>
      </c>
    </row>
    <row r="20" customFormat="false" ht="13.8" hidden="false" customHeight="false" outlineLevel="0" collapsed="false">
      <c r="A20" s="11" t="s">
        <v>155</v>
      </c>
      <c r="B20" s="11" t="s">
        <v>138</v>
      </c>
      <c r="C20" s="11" t="s">
        <v>139</v>
      </c>
      <c r="D20" s="12"/>
      <c r="E20" s="11" t="n">
        <v>44.0704550397255</v>
      </c>
      <c r="F20" s="11" t="n">
        <v>44.1797412823124</v>
      </c>
      <c r="G20" s="11" t="n">
        <v>39.6961971076383</v>
      </c>
      <c r="H20" s="11" t="n">
        <v>35.8885563050247</v>
      </c>
      <c r="I20" s="11" t="n">
        <v>36.4843849417418</v>
      </c>
      <c r="J20" s="11" t="n">
        <v>35.2609430810058</v>
      </c>
      <c r="K20" s="11" t="n">
        <v>35.2373807644579</v>
      </c>
      <c r="L20" s="11" t="n">
        <v>35.4827508380865</v>
      </c>
      <c r="M20" s="11" t="n">
        <v>35.5123899483833</v>
      </c>
      <c r="N20" s="11" t="n">
        <v>26.9725209280125</v>
      </c>
      <c r="O20" s="11" t="n">
        <v>26.4401263932034</v>
      </c>
      <c r="P20" s="11" t="n">
        <v>25.1975850754958</v>
      </c>
      <c r="Q20" s="11" t="n">
        <v>23.6909797075244</v>
      </c>
      <c r="R20" s="11" t="n">
        <v>23.3321043111328</v>
      </c>
      <c r="S20" s="11" t="n">
        <v>23.8193639895213</v>
      </c>
      <c r="T20" s="11" t="n">
        <v>22.8993495466567</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20.1970291565975</v>
      </c>
      <c r="AD20" s="11" t="n">
        <v>20.0764785825238</v>
      </c>
      <c r="AE20" s="11" t="n">
        <v>19.6185628297959</v>
      </c>
      <c r="AF20" s="11" t="n">
        <v>19.8843934118169</v>
      </c>
      <c r="AG20" s="11" t="n">
        <v>19.761921421575</v>
      </c>
      <c r="AH20" s="11" t="n">
        <v>19.8144066150671</v>
      </c>
      <c r="AI20" s="11" t="n">
        <v>18.779891993834</v>
      </c>
      <c r="AJ20" s="11" t="n">
        <v>19.1537538803101</v>
      </c>
      <c r="AK20" s="11" t="n">
        <v>18.2676513371754</v>
      </c>
      <c r="AL20" s="11" t="n">
        <v>18.0936851388269</v>
      </c>
      <c r="AM20" s="11" t="n">
        <v>18.376947460324</v>
      </c>
      <c r="AN20" s="11" t="n">
        <v>18.3552278636155</v>
      </c>
      <c r="AO20" s="11" t="n">
        <v>18.3393857324115</v>
      </c>
      <c r="AP20" s="11" t="n">
        <v>18.296234491271</v>
      </c>
      <c r="AQ20" s="11" t="n">
        <v>18.1733297454214</v>
      </c>
      <c r="AR20" s="11" t="n">
        <v>18.1476815312181</v>
      </c>
      <c r="AS20" s="11" t="n">
        <v>18.0812275266913</v>
      </c>
      <c r="AT20" s="11" t="n">
        <v>18.0033453281764</v>
      </c>
      <c r="AU20" s="11" t="n">
        <v>17.864344050816</v>
      </c>
      <c r="AV20" s="11" t="n">
        <v>17.7782569721973</v>
      </c>
      <c r="AW20" s="11" t="n">
        <v>17.7067513061721</v>
      </c>
      <c r="AX20" s="11" t="n">
        <v>17.6030315157424</v>
      </c>
      <c r="AY20" s="11" t="n">
        <v>17.5013050034047</v>
      </c>
      <c r="AZ20" s="11" t="n">
        <v>17.3196775826863</v>
      </c>
      <c r="BA20" s="11" t="n">
        <v>17.2471209128697</v>
      </c>
      <c r="BB20" s="11" t="n">
        <v>17.1657195702497</v>
      </c>
      <c r="BC20" s="11" t="n">
        <v>17.0922080071911</v>
      </c>
      <c r="BD20" s="11" t="n">
        <v>17.0123001776339</v>
      </c>
      <c r="BE20" s="11" t="n">
        <v>16.9388354707065</v>
      </c>
      <c r="BF20" s="11" t="n">
        <v>16.882771051232</v>
      </c>
      <c r="BG20" s="11" t="n">
        <v>16.8309735352124</v>
      </c>
      <c r="BH20" s="11" t="n">
        <v>16.7787353672124</v>
      </c>
      <c r="BI20" s="11" t="n">
        <v>16.7316129943995</v>
      </c>
      <c r="BJ20" s="11" t="n">
        <v>16.6833633923498</v>
      </c>
      <c r="BK20" s="11" t="n">
        <v>16.6321596307602</v>
      </c>
      <c r="BL20" s="11" t="n">
        <v>16.5839084490984</v>
      </c>
      <c r="BM20" s="11" t="n">
        <v>16.5373927814392</v>
      </c>
      <c r="BN20" s="11" t="n">
        <v>91.4614806864489</v>
      </c>
      <c r="BO20" s="11" t="n">
        <v>90.2699281823233</v>
      </c>
      <c r="BP20" s="11" t="n">
        <v>87.9090223802028</v>
      </c>
      <c r="BQ20" s="11" t="n">
        <v>85.4561841386508</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10.4979550302191</v>
      </c>
      <c r="Z21" s="11" t="n">
        <v>11.0654107151362</v>
      </c>
      <c r="AA21" s="11" t="n">
        <v>11.5161328830887</v>
      </c>
      <c r="AB21" s="11" t="n">
        <v>11.6114703501195</v>
      </c>
      <c r="AC21" s="11" t="n">
        <v>11.1356108294494</v>
      </c>
      <c r="AD21" s="11" t="n">
        <v>10.9498065093755</v>
      </c>
      <c r="AE21" s="11" t="n">
        <v>10.6141423946229</v>
      </c>
      <c r="AF21" s="11" t="n">
        <v>10.121289044966</v>
      </c>
      <c r="AG21" s="11" t="n">
        <v>9.66952181906882</v>
      </c>
      <c r="AH21" s="11" t="n">
        <v>8.98580877911218</v>
      </c>
      <c r="AI21" s="11" t="n">
        <v>8.15976812106435</v>
      </c>
      <c r="AJ21" s="11" t="n">
        <v>7.58436627904264</v>
      </c>
      <c r="AK21" s="11" t="n">
        <v>7.06898863688572</v>
      </c>
      <c r="AL21" s="11" t="n">
        <v>6.59748890429982</v>
      </c>
      <c r="AM21" s="11" t="n">
        <v>6.14657126839515</v>
      </c>
      <c r="AN21" s="11" t="n">
        <v>5.78995641676736</v>
      </c>
      <c r="AO21" s="11" t="n">
        <v>5.45582110094932</v>
      </c>
      <c r="AP21" s="11" t="n">
        <v>5.13969410232909</v>
      </c>
      <c r="AQ21" s="11" t="n">
        <v>4.83421727365179</v>
      </c>
      <c r="AR21" s="11" t="n">
        <v>4.55598570157372</v>
      </c>
      <c r="AS21" s="11" t="n">
        <v>4.31470265813777</v>
      </c>
      <c r="AT21" s="11" t="n">
        <v>4.09884472060176</v>
      </c>
      <c r="AU21" s="11" t="n">
        <v>3.89091088317771</v>
      </c>
      <c r="AV21" s="11" t="n">
        <v>3.70734813175857</v>
      </c>
      <c r="AW21" s="11" t="n">
        <v>3.53638632023551</v>
      </c>
      <c r="AX21" s="11" t="n">
        <v>3.38044042697567</v>
      </c>
      <c r="AY21" s="11" t="n">
        <v>3.24624656805012</v>
      </c>
      <c r="AZ21" s="11" t="n">
        <v>3.14013667374679</v>
      </c>
      <c r="BA21" s="11" t="n">
        <v>3.06190005083168</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1.48366130882975</v>
      </c>
      <c r="F22" s="11" t="n">
        <v>1.24305334298279</v>
      </c>
      <c r="G22" s="11" t="n">
        <v>0.617640551647897</v>
      </c>
      <c r="H22" s="11" t="n">
        <v>0.538700846476154</v>
      </c>
      <c r="I22" s="11" t="n">
        <v>0.546409279966551</v>
      </c>
      <c r="J22" s="11" t="n">
        <v>0.533270281772292</v>
      </c>
      <c r="K22" s="11" t="n">
        <v>0.531928867885412</v>
      </c>
      <c r="L22" s="11" t="n">
        <v>0.44692564402011</v>
      </c>
      <c r="M22" s="11" t="n">
        <v>0.43528910732139</v>
      </c>
      <c r="N22" s="11" t="n">
        <v>0.412312802276656</v>
      </c>
      <c r="O22" s="11" t="n">
        <v>0.51862161306472</v>
      </c>
      <c r="P22" s="11" t="n">
        <v>0.432138729457178</v>
      </c>
      <c r="Q22" s="11" t="n">
        <v>0.364067786446408</v>
      </c>
      <c r="R22" s="11" t="n">
        <v>0.318513971049458</v>
      </c>
      <c r="S22" s="11" t="n">
        <v>0.402942811428176</v>
      </c>
      <c r="T22" s="11" t="n">
        <v>0.368307653921605</v>
      </c>
      <c r="U22" s="11" t="n">
        <v>0.369821205860997</v>
      </c>
      <c r="V22" s="11" t="n">
        <v>0.277694286963564</v>
      </c>
      <c r="W22" s="11" t="n">
        <v>0.255311612882481</v>
      </c>
      <c r="X22" s="11" t="n">
        <v>0.195240026958578</v>
      </c>
      <c r="Y22" s="11" t="n">
        <v>0.281496039558142</v>
      </c>
      <c r="Z22" s="11" t="n">
        <v>0.399303588048535</v>
      </c>
      <c r="AA22" s="11" t="n">
        <v>0.243138181819986</v>
      </c>
      <c r="AB22" s="11" t="n">
        <v>0.294217429839836</v>
      </c>
      <c r="AC22" s="11" t="n">
        <v>0.23782779605641</v>
      </c>
      <c r="AD22" s="11" t="n">
        <v>0.274427975434271</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0.145322964863699</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0.788373788456026</v>
      </c>
      <c r="BP22" s="11" t="n">
        <v>0.788373788456026</v>
      </c>
      <c r="BQ22" s="11" t="n">
        <v>0.788373788456026</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0.426418736992623</v>
      </c>
      <c r="AE23" s="11" t="n">
        <v>0.458386532676318</v>
      </c>
      <c r="AF23" s="11" t="n">
        <v>0.460093295564997</v>
      </c>
      <c r="AG23" s="11" t="n">
        <v>0.565037427403676</v>
      </c>
      <c r="AH23" s="11" t="n">
        <v>0.49719676355469</v>
      </c>
      <c r="AI23" s="11" t="n">
        <v>0.425406162786779</v>
      </c>
      <c r="AJ23" s="11" t="n">
        <v>0.38749956929647</v>
      </c>
      <c r="AK23" s="11" t="n">
        <v>0.333442729385777</v>
      </c>
      <c r="AL23" s="11" t="n">
        <v>0.301791676439176</v>
      </c>
      <c r="AM23" s="11" t="n">
        <v>0.307854862676676</v>
      </c>
      <c r="AN23" s="11" t="n">
        <v>0.314290204270113</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0.372815184884234</v>
      </c>
      <c r="AW23" s="11" t="n">
        <v>0.380977508595361</v>
      </c>
      <c r="AX23" s="11" t="n">
        <v>0.389343890399265</v>
      </c>
      <c r="AY23" s="11" t="n">
        <v>0.389343890399265</v>
      </c>
      <c r="AZ23" s="11" t="n">
        <v>0.389343890399265</v>
      </c>
      <c r="BA23" s="11" t="n">
        <v>0.389343890399265</v>
      </c>
      <c r="BB23" s="11" t="n">
        <v>0.389343890399265</v>
      </c>
      <c r="BC23" s="11" t="n">
        <v>0.389343890399265</v>
      </c>
      <c r="BD23" s="11" t="n">
        <v>0.389343890399265</v>
      </c>
      <c r="BE23" s="11" t="n">
        <v>0.389343890399265</v>
      </c>
      <c r="BF23" s="11" t="n">
        <v>0.389343890399265</v>
      </c>
      <c r="BG23" s="11" t="n">
        <v>0.389343890399265</v>
      </c>
      <c r="BH23" s="11" t="n">
        <v>0.389343890399265</v>
      </c>
      <c r="BI23" s="11" t="n">
        <v>0.389343890399265</v>
      </c>
      <c r="BJ23" s="11" t="n">
        <v>0.389343890399265</v>
      </c>
      <c r="BK23" s="11" t="n">
        <v>0.389343890399265</v>
      </c>
      <c r="BL23" s="11" t="n">
        <v>0.389343890399265</v>
      </c>
      <c r="BM23" s="11" t="n">
        <v>0.389343890399265</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333.205764375449</v>
      </c>
      <c r="AN25" s="11" t="n">
        <v>326.137280109719</v>
      </c>
      <c r="AO25" s="11" t="n">
        <v>318.757460118741</v>
      </c>
      <c r="AP25" s="11" t="n">
        <v>312.443106446085</v>
      </c>
      <c r="AQ25" s="11" t="n">
        <v>305.411879775612</v>
      </c>
      <c r="AR25" s="11" t="n">
        <v>300.130588091081</v>
      </c>
      <c r="AS25" s="11" t="n">
        <v>293.79562381789</v>
      </c>
      <c r="AT25" s="11" t="n">
        <v>287.660431441004</v>
      </c>
      <c r="AU25" s="11" t="n">
        <v>283.105670443074</v>
      </c>
      <c r="AV25" s="11" t="n">
        <v>278.851776311719</v>
      </c>
      <c r="AW25" s="11" t="n">
        <v>275.594058406446</v>
      </c>
      <c r="AX25" s="11" t="n">
        <v>273.197528533819</v>
      </c>
      <c r="AY25" s="11" t="n">
        <v>267.56368847808</v>
      </c>
      <c r="AZ25" s="11" t="n">
        <v>264.2653727141</v>
      </c>
      <c r="BA25" s="11" t="n">
        <v>262.071516370379</v>
      </c>
      <c r="BB25" s="11" t="n">
        <v>260.277991470128</v>
      </c>
      <c r="BC25" s="11" t="n">
        <v>259.366295791508</v>
      </c>
      <c r="BD25" s="11" t="n">
        <v>259.742575091974</v>
      </c>
      <c r="BE25" s="11" t="n">
        <v>260.468669237487</v>
      </c>
      <c r="BF25" s="11" t="n">
        <v>260.8372499341</v>
      </c>
      <c r="BG25" s="11" t="n">
        <v>261.463591900462</v>
      </c>
      <c r="BH25" s="11" t="n">
        <v>261.197289677913</v>
      </c>
      <c r="BI25" s="11" t="n">
        <v>261.91224202598</v>
      </c>
      <c r="BJ25" s="11" t="n">
        <v>262.288109346733</v>
      </c>
      <c r="BK25" s="11" t="n">
        <v>263.753360860108</v>
      </c>
      <c r="BL25" s="11" t="n">
        <v>262.971596870907</v>
      </c>
      <c r="BM25" s="11" t="n">
        <v>263.69273046819</v>
      </c>
      <c r="BN25" s="11" t="n">
        <v>1632.47775957925</v>
      </c>
      <c r="BO25" s="11" t="n">
        <v>1470.10419356866</v>
      </c>
      <c r="BP25" s="11" t="n">
        <v>1359.47242444416</v>
      </c>
      <c r="BQ25" s="11" t="n">
        <v>1301.92704796148</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140.220832717651</v>
      </c>
      <c r="J26" s="11" t="n">
        <v>141.62570447565</v>
      </c>
      <c r="K26" s="11" t="n">
        <v>141.138614388231</v>
      </c>
      <c r="L26" s="11" t="n">
        <v>138.524436182827</v>
      </c>
      <c r="M26" s="11" t="n">
        <v>135.462212228555</v>
      </c>
      <c r="N26" s="11" t="n">
        <v>129.859065263225</v>
      </c>
      <c r="O26" s="11" t="n">
        <v>123.920486839629</v>
      </c>
      <c r="P26" s="11" t="n">
        <v>118.64001130189</v>
      </c>
      <c r="Q26" s="11" t="n">
        <v>116.77678020067</v>
      </c>
      <c r="R26" s="11" t="n">
        <v>111.853160224235</v>
      </c>
      <c r="S26" s="11" t="n">
        <v>107.03393682204</v>
      </c>
      <c r="T26" s="11" t="n">
        <v>102.664117491926</v>
      </c>
      <c r="U26" s="11" t="n">
        <v>99.2297893209561</v>
      </c>
      <c r="V26" s="11" t="n">
        <v>94.7753153178419</v>
      </c>
      <c r="W26" s="11" t="n">
        <v>88.4981359307023</v>
      </c>
      <c r="X26" s="11" t="n">
        <v>83.9244036183387</v>
      </c>
      <c r="Y26" s="11" t="n">
        <v>78.667322755185</v>
      </c>
      <c r="Z26" s="11" t="n">
        <v>75.6712751364844</v>
      </c>
      <c r="AA26" s="11" t="n">
        <v>73.8280122064821</v>
      </c>
      <c r="AB26" s="11" t="n">
        <v>68.980177011707</v>
      </c>
      <c r="AC26" s="11" t="n">
        <v>66.6821086932931</v>
      </c>
      <c r="AD26" s="11" t="n">
        <v>65.4783580021182</v>
      </c>
      <c r="AE26" s="11" t="n">
        <v>63.0801894570004</v>
      </c>
      <c r="AF26" s="11" t="n">
        <v>63.35861040571</v>
      </c>
      <c r="AG26" s="11" t="n">
        <v>62.7602337118584</v>
      </c>
      <c r="AH26" s="11" t="n">
        <v>62.4134940187284</v>
      </c>
      <c r="AI26" s="11" t="n">
        <v>59.9984424095154</v>
      </c>
      <c r="AJ26" s="11" t="n">
        <v>58.7276734594613</v>
      </c>
      <c r="AK26" s="11" t="n">
        <v>58.0898467243932</v>
      </c>
      <c r="AL26" s="11" t="n">
        <v>57.0200585910277</v>
      </c>
      <c r="AM26" s="11" t="n">
        <v>55.5172727235413</v>
      </c>
      <c r="AN26" s="11" t="n">
        <v>54.6857890237077</v>
      </c>
      <c r="AO26" s="11" t="n">
        <v>54.0095013140067</v>
      </c>
      <c r="AP26" s="11" t="n">
        <v>54.1413233854375</v>
      </c>
      <c r="AQ26" s="11" t="n">
        <v>52.9286692174577</v>
      </c>
      <c r="AR26" s="11" t="n">
        <v>51.928236214496</v>
      </c>
      <c r="AS26" s="11" t="n">
        <v>50.9111707971745</v>
      </c>
      <c r="AT26" s="11" t="n">
        <v>49.9687073575034</v>
      </c>
      <c r="AU26" s="11" t="n">
        <v>49.0323029632085</v>
      </c>
      <c r="AV26" s="11" t="n">
        <v>48.1810063468209</v>
      </c>
      <c r="AW26" s="11" t="n">
        <v>47.4462306021382</v>
      </c>
      <c r="AX26" s="11" t="n">
        <v>46.721294285797</v>
      </c>
      <c r="AY26" s="11" t="n">
        <v>46.0011745299019</v>
      </c>
      <c r="AZ26" s="11" t="n">
        <v>45.3144958427966</v>
      </c>
      <c r="BA26" s="11" t="n">
        <v>44.7306354128517</v>
      </c>
      <c r="BB26" s="11" t="n">
        <v>44.1647442493097</v>
      </c>
      <c r="BC26" s="11" t="n">
        <v>43.6417412504024</v>
      </c>
      <c r="BD26" s="11" t="n">
        <v>43.1263781860646</v>
      </c>
      <c r="BE26" s="11" t="n">
        <v>42.6513770245953</v>
      </c>
      <c r="BF26" s="11" t="n">
        <v>42.2437160171597</v>
      </c>
      <c r="BG26" s="11" t="n">
        <v>41.8572605131941</v>
      </c>
      <c r="BH26" s="11" t="n">
        <v>41.4871455710064</v>
      </c>
      <c r="BI26" s="11" t="n">
        <v>41.1339458665548</v>
      </c>
      <c r="BJ26" s="11" t="n">
        <v>40.7918885106066</v>
      </c>
      <c r="BK26" s="11" t="n">
        <v>40.4707070402918</v>
      </c>
      <c r="BL26" s="11" t="n">
        <v>40.1740676788677</v>
      </c>
      <c r="BM26" s="11" t="n">
        <v>39.8990298252565</v>
      </c>
      <c r="BN26" s="11" t="n">
        <v>275.373945037721</v>
      </c>
      <c r="BO26" s="11" t="n">
        <v>254.76908654984</v>
      </c>
      <c r="BP26" s="11" t="n">
        <v>233.664201607454</v>
      </c>
      <c r="BQ26" s="11" t="n">
        <v>218.314876123224</v>
      </c>
    </row>
    <row r="27" customFormat="false" ht="13.8" hidden="false" customHeight="false" outlineLevel="0" collapsed="false">
      <c r="A27" s="11" t="s">
        <v>155</v>
      </c>
      <c r="B27" s="11" t="s">
        <v>140</v>
      </c>
      <c r="C27" s="11" t="s">
        <v>139</v>
      </c>
      <c r="D27" s="12"/>
      <c r="E27" s="11" t="n">
        <v>44.3002234775336</v>
      </c>
      <c r="F27" s="11" t="n">
        <v>44.4052277252299</v>
      </c>
      <c r="G27" s="11" t="n">
        <v>39.9378274497614</v>
      </c>
      <c r="H27" s="11" t="n">
        <v>36.1377812173721</v>
      </c>
      <c r="I27" s="11" t="n">
        <v>36.733575590136</v>
      </c>
      <c r="J27" s="11" t="n">
        <v>35.5262647513158</v>
      </c>
      <c r="K27" s="11" t="n">
        <v>35.5202840220701</v>
      </c>
      <c r="L27" s="11" t="n">
        <v>35.7888793937191</v>
      </c>
      <c r="M27" s="11" t="n">
        <v>35.8446693081235</v>
      </c>
      <c r="N27" s="11" t="n">
        <v>27.2931949805531</v>
      </c>
      <c r="O27" s="11" t="n">
        <v>26.7745080049933</v>
      </c>
      <c r="P27" s="11" t="n">
        <v>25.5332295216333</v>
      </c>
      <c r="Q27" s="11" t="n">
        <v>24.0080781455952</v>
      </c>
      <c r="R27" s="11" t="n">
        <v>23.6493473576149</v>
      </c>
      <c r="S27" s="11" t="n">
        <v>24.1732056787632</v>
      </c>
      <c r="T27" s="11" t="n">
        <v>23.2738708129377</v>
      </c>
      <c r="U27" s="11" t="n">
        <v>22.3723859735233</v>
      </c>
      <c r="V27" s="11" t="n">
        <v>22.3871776205364</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20.0055547697637</v>
      </c>
      <c r="AF27" s="11" t="n">
        <v>20.2878791430463</v>
      </c>
      <c r="AG27" s="11" t="n">
        <v>20.1618254992518</v>
      </c>
      <c r="AH27" s="11" t="n">
        <v>20.2029843423827</v>
      </c>
      <c r="AI27" s="11" t="n">
        <v>18.9789878158805</v>
      </c>
      <c r="AJ27" s="11" t="n">
        <v>19.343581552368</v>
      </c>
      <c r="AK27" s="11" t="n">
        <v>18.5808205022007</v>
      </c>
      <c r="AL27" s="11" t="n">
        <v>18.4485657982639</v>
      </c>
      <c r="AM27" s="11" t="n">
        <v>18.7553341449773</v>
      </c>
      <c r="AN27" s="11" t="n">
        <v>18.7359412949699</v>
      </c>
      <c r="AO27" s="11" t="n">
        <v>18.7154799005757</v>
      </c>
      <c r="AP27" s="11" t="n">
        <v>18.6705215404028</v>
      </c>
      <c r="AQ27" s="11" t="n">
        <v>18.5393556391618</v>
      </c>
      <c r="AR27" s="11" t="n">
        <v>18.5155572485831</v>
      </c>
      <c r="AS27" s="11" t="n">
        <v>18.4402942434531</v>
      </c>
      <c r="AT27" s="11" t="n">
        <v>18.3614999825554</v>
      </c>
      <c r="AU27" s="11" t="n">
        <v>18.2192662858434</v>
      </c>
      <c r="AV27" s="11" t="n">
        <v>18.1270362970417</v>
      </c>
      <c r="AW27" s="11" t="n">
        <v>18.0509072811381</v>
      </c>
      <c r="AX27" s="11" t="n">
        <v>17.9452716718497</v>
      </c>
      <c r="AY27" s="11" t="n">
        <v>17.8383397351854</v>
      </c>
      <c r="AZ27" s="11" t="n">
        <v>17.650154270476</v>
      </c>
      <c r="BA27" s="11" t="n">
        <v>17.5759344119317</v>
      </c>
      <c r="BB27" s="11" t="n">
        <v>17.4946105369865</v>
      </c>
      <c r="BC27" s="11" t="n">
        <v>17.4185192683857</v>
      </c>
      <c r="BD27" s="11" t="n">
        <v>17.3424066421708</v>
      </c>
      <c r="BE27" s="11" t="n">
        <v>17.2731600184316</v>
      </c>
      <c r="BF27" s="11" t="n">
        <v>17.2155849274027</v>
      </c>
      <c r="BG27" s="11" t="n">
        <v>17.1602871347461</v>
      </c>
      <c r="BH27" s="11" t="n">
        <v>17.103208274026</v>
      </c>
      <c r="BI27" s="11" t="n">
        <v>17.051028532067</v>
      </c>
      <c r="BJ27" s="11" t="n">
        <v>16.9958540440811</v>
      </c>
      <c r="BK27" s="11" t="n">
        <v>16.9453861776162</v>
      </c>
      <c r="BL27" s="11" t="n">
        <v>16.8867885264559</v>
      </c>
      <c r="BM27" s="11" t="n">
        <v>16.8347585986173</v>
      </c>
      <c r="BN27" s="11" t="n">
        <v>93.3258426791896</v>
      </c>
      <c r="BO27" s="11" t="n">
        <v>92.0759733995967</v>
      </c>
      <c r="BP27" s="11" t="n">
        <v>89.6117092556909</v>
      </c>
      <c r="BQ27" s="11" t="n">
        <v>87.1046308779062</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10.4979550302191</v>
      </c>
      <c r="Z28" s="11" t="n">
        <v>11.0654107151362</v>
      </c>
      <c r="AA28" s="11" t="n">
        <v>11.5161328830887</v>
      </c>
      <c r="AB28" s="11" t="n">
        <v>11.6114703501195</v>
      </c>
      <c r="AC28" s="11" t="n">
        <v>11.1356108294494</v>
      </c>
      <c r="AD28" s="11" t="n">
        <v>10.9498065093755</v>
      </c>
      <c r="AE28" s="11" t="n">
        <v>10.6141423946229</v>
      </c>
      <c r="AF28" s="11" t="n">
        <v>10.121289044966</v>
      </c>
      <c r="AG28" s="11" t="n">
        <v>9.66952181906882</v>
      </c>
      <c r="AH28" s="11" t="n">
        <v>8.98580877911218</v>
      </c>
      <c r="AI28" s="11" t="n">
        <v>8.15976812106435</v>
      </c>
      <c r="AJ28" s="11" t="n">
        <v>7.58436627904264</v>
      </c>
      <c r="AK28" s="11" t="n">
        <v>7.06898863688572</v>
      </c>
      <c r="AL28" s="11" t="n">
        <v>6.59748890429982</v>
      </c>
      <c r="AM28" s="11" t="n">
        <v>6.14657126839515</v>
      </c>
      <c r="AN28" s="11" t="n">
        <v>5.78995641676736</v>
      </c>
      <c r="AO28" s="11" t="n">
        <v>5.45582110094932</v>
      </c>
      <c r="AP28" s="11" t="n">
        <v>5.13969410232909</v>
      </c>
      <c r="AQ28" s="11" t="n">
        <v>4.83421727365179</v>
      </c>
      <c r="AR28" s="11" t="n">
        <v>4.55598570157372</v>
      </c>
      <c r="AS28" s="11" t="n">
        <v>4.31470265813777</v>
      </c>
      <c r="AT28" s="11" t="n">
        <v>4.09884472060176</v>
      </c>
      <c r="AU28" s="11" t="n">
        <v>3.89091088317771</v>
      </c>
      <c r="AV28" s="11" t="n">
        <v>3.70734813175857</v>
      </c>
      <c r="AW28" s="11" t="n">
        <v>3.53638632023551</v>
      </c>
      <c r="AX28" s="11" t="n">
        <v>3.38044042697567</v>
      </c>
      <c r="AY28" s="11" t="n">
        <v>3.24624656805012</v>
      </c>
      <c r="AZ28" s="11" t="n">
        <v>3.14013667374679</v>
      </c>
      <c r="BA28" s="11" t="n">
        <v>3.06190005083168</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1.48366130882975</v>
      </c>
      <c r="F29" s="11" t="n">
        <v>1.24305334298279</v>
      </c>
      <c r="G29" s="11" t="n">
        <v>0.617640551647897</v>
      </c>
      <c r="H29" s="11" t="n">
        <v>0.538700846476154</v>
      </c>
      <c r="I29" s="11" t="n">
        <v>0.546409279966551</v>
      </c>
      <c r="J29" s="11" t="n">
        <v>0.533270281772292</v>
      </c>
      <c r="K29" s="11" t="n">
        <v>0.531928867885412</v>
      </c>
      <c r="L29" s="11" t="n">
        <v>0.44692564402011</v>
      </c>
      <c r="M29" s="11" t="n">
        <v>0.43528910732139</v>
      </c>
      <c r="N29" s="11" t="n">
        <v>0.412312802276656</v>
      </c>
      <c r="O29" s="11" t="n">
        <v>0.51862161306472</v>
      </c>
      <c r="P29" s="11" t="n">
        <v>0.432138729457178</v>
      </c>
      <c r="Q29" s="11" t="n">
        <v>0.364067786446408</v>
      </c>
      <c r="R29" s="11" t="n">
        <v>0.318513971049458</v>
      </c>
      <c r="S29" s="11" t="n">
        <v>0.402942811428176</v>
      </c>
      <c r="T29" s="11" t="n">
        <v>0.368307653921605</v>
      </c>
      <c r="U29" s="11" t="n">
        <v>0.369821205860997</v>
      </c>
      <c r="V29" s="11" t="n">
        <v>0.277694286963564</v>
      </c>
      <c r="W29" s="11" t="n">
        <v>0.255311612882481</v>
      </c>
      <c r="X29" s="11" t="n">
        <v>0.195240026958578</v>
      </c>
      <c r="Y29" s="11" t="n">
        <v>0.281496039558142</v>
      </c>
      <c r="Z29" s="11" t="n">
        <v>0.399303588048535</v>
      </c>
      <c r="AA29" s="11" t="n">
        <v>0.243138181819986</v>
      </c>
      <c r="AB29" s="11" t="n">
        <v>0.294217429839836</v>
      </c>
      <c r="AC29" s="11" t="n">
        <v>0.23782779605641</v>
      </c>
      <c r="AD29" s="11" t="n">
        <v>0.274427975434271</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0.145322964863699</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0.788373788456026</v>
      </c>
      <c r="BP29" s="11" t="n">
        <v>0.788373788456026</v>
      </c>
      <c r="BQ29" s="11" t="n">
        <v>0.788373788456026</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0.426418736992623</v>
      </c>
      <c r="AE30" s="11" t="n">
        <v>0.458386532676318</v>
      </c>
      <c r="AF30" s="11" t="n">
        <v>0.460093295564997</v>
      </c>
      <c r="AG30" s="11" t="n">
        <v>0.565037427403676</v>
      </c>
      <c r="AH30" s="11" t="n">
        <v>0.49719676355469</v>
      </c>
      <c r="AI30" s="11" t="n">
        <v>0.425406162786779</v>
      </c>
      <c r="AJ30" s="11" t="n">
        <v>0.38749956929647</v>
      </c>
      <c r="AK30" s="11" t="n">
        <v>0.333442729385777</v>
      </c>
      <c r="AL30" s="11" t="n">
        <v>0.301791676439176</v>
      </c>
      <c r="AM30" s="11" t="n">
        <v>0.307854862676676</v>
      </c>
      <c r="AN30" s="11" t="n">
        <v>0.314290204270113</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0.372815184884234</v>
      </c>
      <c r="AW30" s="11" t="n">
        <v>0.380977508595361</v>
      </c>
      <c r="AX30" s="11" t="n">
        <v>0.389343890399265</v>
      </c>
      <c r="AY30" s="11" t="n">
        <v>0.389343890399265</v>
      </c>
      <c r="AZ30" s="11" t="n">
        <v>0.389343890399265</v>
      </c>
      <c r="BA30" s="11" t="n">
        <v>0.389343890399265</v>
      </c>
      <c r="BB30" s="11" t="n">
        <v>0.389343890399265</v>
      </c>
      <c r="BC30" s="11" t="n">
        <v>0.389343890399265</v>
      </c>
      <c r="BD30" s="11" t="n">
        <v>0.389343890399265</v>
      </c>
      <c r="BE30" s="11" t="n">
        <v>0.389343890399265</v>
      </c>
      <c r="BF30" s="11" t="n">
        <v>0.389343890399265</v>
      </c>
      <c r="BG30" s="11" t="n">
        <v>0.389343890399265</v>
      </c>
      <c r="BH30" s="11" t="n">
        <v>0.389343890399265</v>
      </c>
      <c r="BI30" s="11" t="n">
        <v>0.389343890399265</v>
      </c>
      <c r="BJ30" s="11" t="n">
        <v>0.389343890399265</v>
      </c>
      <c r="BK30" s="11" t="n">
        <v>0.389343890399265</v>
      </c>
      <c r="BL30" s="11" t="n">
        <v>0.389343890399265</v>
      </c>
      <c r="BM30" s="11" t="n">
        <v>0.389343890399265</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32.3429075604533</v>
      </c>
      <c r="H33" s="11" t="n">
        <v>32.2867215516015</v>
      </c>
      <c r="I33" s="11" t="n">
        <v>32.4376625870691</v>
      </c>
      <c r="J33" s="11" t="n">
        <v>32.2069060308038</v>
      </c>
      <c r="K33" s="11" t="n">
        <v>32.8262420298166</v>
      </c>
      <c r="L33" s="11" t="n">
        <v>32.5783502819476</v>
      </c>
      <c r="M33" s="11" t="n">
        <v>32.6734220770182</v>
      </c>
      <c r="N33" s="11" t="n">
        <v>32.5130465142707</v>
      </c>
      <c r="O33" s="11" t="n">
        <v>31.5208846643531</v>
      </c>
      <c r="P33" s="11" t="n">
        <v>29.9473573096137</v>
      </c>
      <c r="Q33" s="11" t="n">
        <v>29.4891220094733</v>
      </c>
      <c r="R33" s="11" t="n">
        <v>29.7648113387233</v>
      </c>
      <c r="S33" s="11" t="n">
        <v>30.0129038331228</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27.8900628145383</v>
      </c>
      <c r="AK33" s="11" t="n">
        <v>27.7847764250513</v>
      </c>
      <c r="AL33" s="11" t="n">
        <v>27.2034581433579</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16.3728090246473</v>
      </c>
      <c r="F34" s="11" t="n">
        <v>16.3652204738222</v>
      </c>
      <c r="G34" s="11" t="n">
        <v>15.7880323748618</v>
      </c>
      <c r="H34" s="11" t="n">
        <v>15.3872752709717</v>
      </c>
      <c r="I34" s="11" t="n">
        <v>15.9578378738726</v>
      </c>
      <c r="J34" s="11" t="n">
        <v>16.0073151624586</v>
      </c>
      <c r="K34" s="11" t="n">
        <v>16.2385566670362</v>
      </c>
      <c r="L34" s="11" t="n">
        <v>16.4227129027924</v>
      </c>
      <c r="M34" s="11" t="n">
        <v>16.2079933627153</v>
      </c>
      <c r="N34" s="11" t="n">
        <v>16.2277371694367</v>
      </c>
      <c r="O34" s="11" t="n">
        <v>15.5059070589611</v>
      </c>
      <c r="P34" s="11" t="n">
        <v>14.9262809717382</v>
      </c>
      <c r="Q34" s="11" t="n">
        <v>14.9166492139828</v>
      </c>
      <c r="R34" s="11" t="n">
        <v>14.8411843098522</v>
      </c>
      <c r="S34" s="11" t="n">
        <v>14.6249013723468</v>
      </c>
      <c r="T34" s="11" t="n">
        <v>14.319878479678</v>
      </c>
      <c r="U34" s="11" t="n">
        <v>13.9484125589319</v>
      </c>
      <c r="V34" s="11" t="n">
        <v>13.6898865319666</v>
      </c>
      <c r="W34" s="11" t="n">
        <v>13.5903470722667</v>
      </c>
      <c r="X34" s="11" t="n">
        <v>13.5319011034865</v>
      </c>
      <c r="Y34" s="11" t="n">
        <v>13.7591024678466</v>
      </c>
      <c r="Z34" s="11" t="n">
        <v>13.7877731979964</v>
      </c>
      <c r="AA34" s="11" t="n">
        <v>13.6595715469706</v>
      </c>
      <c r="AB34" s="11" t="n">
        <v>13.7111904939868</v>
      </c>
      <c r="AC34" s="11" t="n">
        <v>14.2109240717554</v>
      </c>
      <c r="AD34" s="11" t="n">
        <v>14.1380536664966</v>
      </c>
      <c r="AE34" s="11" t="n">
        <v>13.813109346583</v>
      </c>
      <c r="AF34" s="11" t="n">
        <v>14.0170958536443</v>
      </c>
      <c r="AG34" s="11" t="n">
        <v>13.8566444133239</v>
      </c>
      <c r="AH34" s="11" t="n">
        <v>13.9485106648271</v>
      </c>
      <c r="AI34" s="11" t="n">
        <v>13.1569075442857</v>
      </c>
      <c r="AJ34" s="11" t="n">
        <v>13.478563412585</v>
      </c>
      <c r="AK34" s="11" t="n">
        <v>12.7290815643072</v>
      </c>
      <c r="AL34" s="11" t="n">
        <v>12.5191024192604</v>
      </c>
      <c r="AM34" s="11" t="n">
        <v>12.5045953938355</v>
      </c>
      <c r="AN34" s="11" t="n">
        <v>12.5098559697839</v>
      </c>
      <c r="AO34" s="11" t="n">
        <v>12.5217901091835</v>
      </c>
      <c r="AP34" s="11" t="n">
        <v>12.5376828555556</v>
      </c>
      <c r="AQ34" s="11" t="n">
        <v>12.5541577344059</v>
      </c>
      <c r="AR34" s="11" t="n">
        <v>12.5678684965442</v>
      </c>
      <c r="AS34" s="11" t="n">
        <v>12.5756416332501</v>
      </c>
      <c r="AT34" s="11" t="n">
        <v>12.5570215325553</v>
      </c>
      <c r="AU34" s="11" t="n">
        <v>12.5324913014387</v>
      </c>
      <c r="AV34" s="11" t="n">
        <v>12.5034970082266</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62.7871806981944</v>
      </c>
      <c r="BP34" s="11" t="n">
        <v>62.1470433189398</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78.1425143340875</v>
      </c>
      <c r="AO39" s="11" t="n">
        <v>77.9050679144486</v>
      </c>
      <c r="AP39" s="11" t="n">
        <v>77.6979053226269</v>
      </c>
      <c r="AQ39" s="11" t="n">
        <v>77.3698325493681</v>
      </c>
      <c r="AR39" s="11" t="n">
        <v>77.3917959635551</v>
      </c>
      <c r="AS39" s="11" t="n">
        <v>77.1865053118605</v>
      </c>
      <c r="AT39" s="11" t="n">
        <v>77.1299550014758</v>
      </c>
      <c r="AU39" s="11" t="n">
        <v>77.0690561859689</v>
      </c>
      <c r="AV39" s="11" t="n">
        <v>77.0624913013153</v>
      </c>
      <c r="AW39" s="11" t="n">
        <v>77.0776495098943</v>
      </c>
      <c r="AX39" s="11" t="n">
        <v>77.1501445123891</v>
      </c>
      <c r="AY39" s="11" t="n">
        <v>77.6027444346896</v>
      </c>
      <c r="AZ39" s="11" t="n">
        <v>77.7398032778355</v>
      </c>
      <c r="BA39" s="11" t="n">
        <v>77.9664742348469</v>
      </c>
      <c r="BB39" s="11" t="n">
        <v>78.2036819021854</v>
      </c>
      <c r="BC39" s="11" t="n">
        <v>78.4813918775787</v>
      </c>
      <c r="BD39" s="11" t="n">
        <v>78.8430240383495</v>
      </c>
      <c r="BE39" s="11" t="n">
        <v>79.0531399439212</v>
      </c>
      <c r="BF39" s="11" t="n">
        <v>79.1875596251655</v>
      </c>
      <c r="BG39" s="11" t="n">
        <v>79.5193290906455</v>
      </c>
      <c r="BH39" s="11" t="n">
        <v>79.5207235111552</v>
      </c>
      <c r="BI39" s="11" t="n">
        <v>79.6238083122171</v>
      </c>
      <c r="BJ39" s="11" t="n">
        <v>79.8670726672085</v>
      </c>
      <c r="BK39" s="11" t="n">
        <v>79.9200976237778</v>
      </c>
      <c r="BL39" s="11" t="n">
        <v>79.8803863368371</v>
      </c>
      <c r="BM39" s="11" t="n">
        <v>79.8347699506533</v>
      </c>
      <c r="BN39" s="11" t="n">
        <v>381.214776956483</v>
      </c>
      <c r="BO39" s="11" t="n">
        <v>386.147145012228</v>
      </c>
      <c r="BP39" s="11" t="n">
        <v>386.632833036124</v>
      </c>
      <c r="BQ39" s="11" t="n">
        <v>392.547711996882</v>
      </c>
    </row>
    <row r="40" customFormat="false" ht="13.8" hidden="false" customHeight="false" outlineLevel="0" collapsed="false">
      <c r="A40" s="11" t="s">
        <v>154</v>
      </c>
      <c r="B40" s="11" t="s">
        <v>145</v>
      </c>
      <c r="C40" s="11" t="s">
        <v>139</v>
      </c>
      <c r="D40" s="12"/>
      <c r="E40" s="11" t="n">
        <v>1.9343874301736</v>
      </c>
      <c r="F40" s="11" t="n">
        <v>2.09281339675811</v>
      </c>
      <c r="G40" s="11" t="n">
        <v>1.90487465016747</v>
      </c>
      <c r="H40" s="11" t="n">
        <v>2.0400292812682</v>
      </c>
      <c r="I40" s="11" t="n">
        <v>1.7952750564989</v>
      </c>
      <c r="J40" s="11" t="n">
        <v>1.44938866258208</v>
      </c>
      <c r="K40" s="11" t="n">
        <v>1.51122564806966</v>
      </c>
      <c r="L40" s="11" t="n">
        <v>1.3737866328731</v>
      </c>
      <c r="M40" s="11" t="n">
        <v>1.33054053572705</v>
      </c>
      <c r="N40" s="11" t="n">
        <v>1.34823620318337</v>
      </c>
      <c r="O40" s="11" t="n">
        <v>1.18822527709927</v>
      </c>
      <c r="P40" s="11" t="n">
        <v>1.16633944776346</v>
      </c>
      <c r="Q40" s="11" t="n">
        <v>1.01383296021305</v>
      </c>
      <c r="R40" s="11" t="n">
        <v>0.93322154285008</v>
      </c>
      <c r="S40" s="11" t="n">
        <v>0.901857739023368</v>
      </c>
      <c r="T40" s="11" t="n">
        <v>0.812122999703224</v>
      </c>
      <c r="U40" s="11" t="n">
        <v>0.795568701358164</v>
      </c>
      <c r="V40" s="11" t="n">
        <v>0.759026928260703</v>
      </c>
      <c r="W40" s="11" t="n">
        <v>0.760082219226097</v>
      </c>
      <c r="X40" s="11" t="n">
        <v>0.745030177478766</v>
      </c>
      <c r="Y40" s="11" t="n">
        <v>0.829548103312322</v>
      </c>
      <c r="Z40" s="11" t="n">
        <v>0.748458555760482</v>
      </c>
      <c r="AA40" s="11" t="n">
        <v>0.78790328833195</v>
      </c>
      <c r="AB40" s="11" t="n">
        <v>0.825365487716614</v>
      </c>
      <c r="AC40" s="11" t="n">
        <v>0.752002415193222</v>
      </c>
      <c r="AD40" s="11" t="n">
        <v>0.769371740819121</v>
      </c>
      <c r="AE40" s="11" t="n">
        <v>0.797824147621668</v>
      </c>
      <c r="AF40" s="11" t="n">
        <v>0.84420341170345</v>
      </c>
      <c r="AG40" s="11" t="n">
        <v>0.884861076081247</v>
      </c>
      <c r="AH40" s="11" t="n">
        <v>0.866246153304041</v>
      </c>
      <c r="AI40" s="11" t="n">
        <v>0.888298323747082</v>
      </c>
      <c r="AJ40" s="11" t="n">
        <v>0.949358927981948</v>
      </c>
      <c r="AK40" s="11" t="n">
        <v>0.895104911792876</v>
      </c>
      <c r="AL40" s="11" t="n">
        <v>0.844939001939519</v>
      </c>
      <c r="AM40" s="11" t="n">
        <v>0.886295151247936</v>
      </c>
      <c r="AN40" s="11" t="n">
        <v>0.89421623028065</v>
      </c>
      <c r="AO40" s="11" t="n">
        <v>0.896034422547745</v>
      </c>
      <c r="AP40" s="11" t="n">
        <v>0.902864956247211</v>
      </c>
      <c r="AQ40" s="11" t="n">
        <v>0.902852573245864</v>
      </c>
      <c r="AR40" s="11" t="n">
        <v>0.896755822268219</v>
      </c>
      <c r="AS40" s="11" t="n">
        <v>0.8837305939203</v>
      </c>
      <c r="AT40" s="11" t="n">
        <v>0.87663465910558</v>
      </c>
      <c r="AU40" s="11" t="n">
        <v>0.873660138433076</v>
      </c>
      <c r="AV40" s="11" t="n">
        <v>0.866474750610566</v>
      </c>
      <c r="AW40" s="11" t="n">
        <v>0.857968746088123</v>
      </c>
      <c r="AX40" s="11" t="n">
        <v>0.837879974122839</v>
      </c>
      <c r="AY40" s="11" t="n">
        <v>0.81520712468766</v>
      </c>
      <c r="AZ40" s="11" t="n">
        <v>0.7839396668817</v>
      </c>
      <c r="BA40" s="11" t="n">
        <v>0.770372510318363</v>
      </c>
      <c r="BB40" s="11" t="n">
        <v>0.75705054046889</v>
      </c>
      <c r="BC40" s="11" t="n">
        <v>0.744921669089127</v>
      </c>
      <c r="BD40" s="11" t="n">
        <v>0.732808244288869</v>
      </c>
      <c r="BE40" s="11" t="n">
        <v>0.716226254210669</v>
      </c>
      <c r="BF40" s="11" t="n">
        <v>0.707669318607368</v>
      </c>
      <c r="BG40" s="11" t="n">
        <v>0.698224321016312</v>
      </c>
      <c r="BH40" s="11" t="n">
        <v>0.681768281687507</v>
      </c>
      <c r="BI40" s="11" t="n">
        <v>0.664025640858778</v>
      </c>
      <c r="BJ40" s="11" t="n">
        <v>0.648411884795533</v>
      </c>
      <c r="BK40" s="11" t="n">
        <v>0.638254281301729</v>
      </c>
      <c r="BL40" s="11" t="n">
        <v>0.637923674796466</v>
      </c>
      <c r="BM40" s="11" t="n">
        <v>0.637788977062619</v>
      </c>
      <c r="BN40" s="11" t="n">
        <v>4.42434976226306</v>
      </c>
      <c r="BO40" s="11" t="n">
        <v>4.43363378697304</v>
      </c>
      <c r="BP40" s="11" t="n">
        <v>4.16147026239089</v>
      </c>
      <c r="BQ40" s="11" t="n">
        <v>3.72137921837592</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0.727990636052087</v>
      </c>
      <c r="M41" s="11" t="n">
        <v>0.720053765993904</v>
      </c>
      <c r="N41" s="11" t="n">
        <v>0.724653000290284</v>
      </c>
      <c r="O41" s="11" t="n">
        <v>0.704194326455599</v>
      </c>
      <c r="P41" s="11" t="n">
        <v>0.714911564243158</v>
      </c>
      <c r="Q41" s="11" t="n">
        <v>0.688574056524535</v>
      </c>
      <c r="R41" s="11" t="n">
        <v>0.676763604250922</v>
      </c>
      <c r="S41" s="11" t="n">
        <v>0.680768457459176</v>
      </c>
      <c r="T41" s="11" t="n">
        <v>0.670982937926471</v>
      </c>
      <c r="U41" s="11" t="n">
        <v>0.674474885150766</v>
      </c>
      <c r="V41" s="11" t="n">
        <v>0.669230340665885</v>
      </c>
      <c r="W41" s="11" t="n">
        <v>0.673097742682907</v>
      </c>
      <c r="X41" s="11" t="n">
        <v>0.67454986089093</v>
      </c>
      <c r="Y41" s="11" t="n">
        <v>0.6907640100899</v>
      </c>
      <c r="Z41" s="11" t="n">
        <v>0.675831255143988</v>
      </c>
      <c r="AA41" s="11" t="n">
        <v>0.846545414599524</v>
      </c>
      <c r="AB41" s="11" t="n">
        <v>0.891900592001091</v>
      </c>
      <c r="AC41" s="11" t="n">
        <v>0.893546411799337</v>
      </c>
      <c r="AD41" s="11" t="n">
        <v>0.904083788266458</v>
      </c>
      <c r="AE41" s="11" t="n">
        <v>0.913451796364845</v>
      </c>
      <c r="AF41" s="11" t="n">
        <v>0.905720524710327</v>
      </c>
      <c r="AG41" s="11" t="n">
        <v>0.916538088663762</v>
      </c>
      <c r="AH41" s="11" t="n">
        <v>0.924124505580662</v>
      </c>
      <c r="AI41" s="11" t="n">
        <v>0.901472041065115</v>
      </c>
      <c r="AJ41" s="11" t="n">
        <v>0.883802548357134</v>
      </c>
      <c r="AK41" s="11" t="n">
        <v>0.845712936789407</v>
      </c>
      <c r="AL41" s="11" t="n">
        <v>0.836001263230554</v>
      </c>
      <c r="AM41" s="11" t="n">
        <v>0.889097789671652</v>
      </c>
      <c r="AN41" s="11" t="n">
        <v>0.895729669172499</v>
      </c>
      <c r="AO41" s="11" t="n">
        <v>0.900393170359171</v>
      </c>
      <c r="AP41" s="11" t="n">
        <v>0.905035066237988</v>
      </c>
      <c r="AQ41" s="11" t="n">
        <v>0.907922604910234</v>
      </c>
      <c r="AR41" s="11" t="n">
        <v>0.90993271630847</v>
      </c>
      <c r="AS41" s="11" t="n">
        <v>0.910862305515743</v>
      </c>
      <c r="AT41" s="11" t="n">
        <v>0.912536013033896</v>
      </c>
      <c r="AU41" s="11" t="n">
        <v>0.914691596442697</v>
      </c>
      <c r="AV41" s="11" t="n">
        <v>0.916297868143038</v>
      </c>
      <c r="AW41" s="11" t="n">
        <v>0.917679653674072</v>
      </c>
      <c r="AX41" s="11" t="n">
        <v>0.917414457798282</v>
      </c>
      <c r="AY41" s="11" t="n">
        <v>0.916741921835991</v>
      </c>
      <c r="AZ41" s="11" t="n">
        <v>0.914823525725581</v>
      </c>
      <c r="BA41" s="11" t="n">
        <v>0.915300266589718</v>
      </c>
      <c r="BB41" s="11" t="n">
        <v>0.915767365486781</v>
      </c>
      <c r="BC41" s="11" t="n">
        <v>0.916393515378171</v>
      </c>
      <c r="BD41" s="11" t="n">
        <v>0.916986860215525</v>
      </c>
      <c r="BE41" s="11" t="n">
        <v>0.91692029640833</v>
      </c>
      <c r="BF41" s="11" t="n">
        <v>0.917940556955341</v>
      </c>
      <c r="BG41" s="11" t="n">
        <v>0.918776350447403</v>
      </c>
      <c r="BH41" s="11" t="n">
        <v>0.918527073562945</v>
      </c>
      <c r="BI41" s="11" t="n">
        <v>0.91796987501813</v>
      </c>
      <c r="BJ41" s="11" t="n">
        <v>0.917632761916075</v>
      </c>
      <c r="BK41" s="11" t="n">
        <v>0.917988060558842</v>
      </c>
      <c r="BL41" s="11" t="n">
        <v>0.919642218834502</v>
      </c>
      <c r="BM41" s="11" t="n">
        <v>0.921249034660315</v>
      </c>
      <c r="BN41" s="11" t="n">
        <v>4.42625695867186</v>
      </c>
      <c r="BO41" s="11" t="n">
        <v>4.55594523621104</v>
      </c>
      <c r="BP41" s="11" t="n">
        <v>4.58295742717696</v>
      </c>
      <c r="BQ41" s="11" t="n">
        <v>4.58136830407853</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0.887812092871217</v>
      </c>
      <c r="L42" s="11" t="n">
        <v>1.21268939746777</v>
      </c>
      <c r="M42" s="11" t="n">
        <v>1.67943437777013</v>
      </c>
      <c r="N42" s="11" t="n">
        <v>2.23766194274384</v>
      </c>
      <c r="O42" s="11" t="n">
        <v>2.85956892573193</v>
      </c>
      <c r="P42" s="11" t="n">
        <v>3.61885336113621</v>
      </c>
      <c r="Q42" s="11" t="n">
        <v>4.23695062254621</v>
      </c>
      <c r="R42" s="11" t="n">
        <v>4.90898918210383</v>
      </c>
      <c r="S42" s="11" t="n">
        <v>5.47172831627325</v>
      </c>
      <c r="T42" s="11" t="n">
        <v>6.02613382558142</v>
      </c>
      <c r="U42" s="11" t="n">
        <v>6.67512027321028</v>
      </c>
      <c r="V42" s="11" t="n">
        <v>7.09453468955329</v>
      </c>
      <c r="W42" s="11" t="n">
        <v>7.33427063376822</v>
      </c>
      <c r="X42" s="11" t="n">
        <v>7.65072094240051</v>
      </c>
      <c r="Y42" s="11" t="n">
        <v>7.98793642368175</v>
      </c>
      <c r="Z42" s="11" t="n">
        <v>8.37623700129879</v>
      </c>
      <c r="AA42" s="11" t="n">
        <v>8.67742513818832</v>
      </c>
      <c r="AB42" s="11" t="n">
        <v>8.67057952123833</v>
      </c>
      <c r="AC42" s="11" t="n">
        <v>8.22294685667956</v>
      </c>
      <c r="AD42" s="11" t="n">
        <v>8.01470776928503</v>
      </c>
      <c r="AE42" s="11" t="n">
        <v>7.72031091816046</v>
      </c>
      <c r="AF42" s="11" t="n">
        <v>7.31880276789089</v>
      </c>
      <c r="AG42" s="11" t="n">
        <v>6.95968164395597</v>
      </c>
      <c r="AH42" s="11" t="n">
        <v>6.39537361443029</v>
      </c>
      <c r="AI42" s="11" t="n">
        <v>5.70528179294859</v>
      </c>
      <c r="AJ42" s="11" t="n">
        <v>5.24401579865644</v>
      </c>
      <c r="AK42" s="11" t="n">
        <v>4.85465601130321</v>
      </c>
      <c r="AL42" s="11" t="n">
        <v>4.45096638460075</v>
      </c>
      <c r="AM42" s="11" t="n">
        <v>4.13587946738664</v>
      </c>
      <c r="AN42" s="11" t="n">
        <v>3.91082861365333</v>
      </c>
      <c r="AO42" s="11" t="n">
        <v>3.71356827885798</v>
      </c>
      <c r="AP42" s="11" t="n">
        <v>3.54141578366137</v>
      </c>
      <c r="AQ42" s="11" t="n">
        <v>3.397188073432</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2.83955931184937</v>
      </c>
      <c r="BG42" s="11" t="n">
        <v>2.88285737657756</v>
      </c>
      <c r="BH42" s="11" t="n">
        <v>2.93086885071256</v>
      </c>
      <c r="BI42" s="11" t="n">
        <v>2.97998034582683</v>
      </c>
      <c r="BJ42" s="11" t="n">
        <v>3.02803909746594</v>
      </c>
      <c r="BK42" s="11" t="n">
        <v>3.07319716267257</v>
      </c>
      <c r="BL42" s="11" t="n">
        <v>3.11529035542257</v>
      </c>
      <c r="BM42" s="11" t="n">
        <v>3.15658114223841</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114.080863679983</v>
      </c>
      <c r="AO46" s="11" t="n">
        <v>111.336371896932</v>
      </c>
      <c r="AP46" s="11" t="n">
        <v>108.388637749115</v>
      </c>
      <c r="AQ46" s="11" t="n">
        <v>104.115063239555</v>
      </c>
      <c r="AR46" s="11" t="n">
        <v>99.0001166775231</v>
      </c>
      <c r="AS46" s="11" t="n">
        <v>92.8721095296581</v>
      </c>
      <c r="AT46" s="11" t="n">
        <v>87.2472777840093</v>
      </c>
      <c r="AU46" s="11" t="n">
        <v>82.0407885649043</v>
      </c>
      <c r="AV46" s="11" t="n">
        <v>77.5437778245281</v>
      </c>
      <c r="AW46" s="11" t="n">
        <v>73.5313863106086</v>
      </c>
      <c r="AX46" s="11" t="n">
        <v>70.0260050688663</v>
      </c>
      <c r="AY46" s="11" t="n">
        <v>66.8476106205865</v>
      </c>
      <c r="AZ46" s="11" t="n">
        <v>63.9913415844877</v>
      </c>
      <c r="BA46" s="11" t="n">
        <v>61.4664618844023</v>
      </c>
      <c r="BB46" s="11" t="n">
        <v>59.2943784517544</v>
      </c>
      <c r="BC46" s="11" t="n">
        <v>57.3107363075031</v>
      </c>
      <c r="BD46" s="11" t="n">
        <v>55.6593772891159</v>
      </c>
      <c r="BE46" s="11" t="n">
        <v>54.2045723213708</v>
      </c>
      <c r="BF46" s="11" t="n">
        <v>53.0586087090545</v>
      </c>
      <c r="BG46" s="11" t="n">
        <v>52.055674840695</v>
      </c>
      <c r="BH46" s="11" t="n">
        <v>51.2046314271921</v>
      </c>
      <c r="BI46" s="11" t="n">
        <v>50.5476591706732</v>
      </c>
      <c r="BJ46" s="11" t="n">
        <v>49.9808795513403</v>
      </c>
      <c r="BK46" s="11" t="n">
        <v>49.6513490299939</v>
      </c>
      <c r="BL46" s="11" t="n">
        <v>49.3219970699507</v>
      </c>
      <c r="BM46" s="11" t="n">
        <v>49.0634738397957</v>
      </c>
      <c r="BN46" s="11" t="n">
        <v>553.038394835975</v>
      </c>
      <c r="BO46" s="11" t="n">
        <v>465.27535579565</v>
      </c>
      <c r="BP46" s="11" t="n">
        <v>351.940121409077</v>
      </c>
      <c r="BQ46" s="11" t="n">
        <v>287.935526254147</v>
      </c>
    </row>
    <row r="47" customFormat="false" ht="13.8" hidden="false" customHeight="false" outlineLevel="0" collapsed="false">
      <c r="A47" s="11" t="s">
        <v>154</v>
      </c>
      <c r="B47" s="11" t="s">
        <v>146</v>
      </c>
      <c r="C47" s="11" t="s">
        <v>139</v>
      </c>
      <c r="D47" s="12"/>
      <c r="E47" s="11" t="n">
        <v>1.27297720515135</v>
      </c>
      <c r="F47" s="11" t="n">
        <v>1.25061064970842</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0.553564609166542</v>
      </c>
      <c r="R47" s="11" t="n">
        <v>0.490426598642273</v>
      </c>
      <c r="S47" s="11" t="n">
        <v>0.442652781387932</v>
      </c>
      <c r="T47" s="11" t="n">
        <v>0.405383013533054</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0.0747884074140275</v>
      </c>
      <c r="AJ47" s="11" t="n">
        <v>0.0810221488085114</v>
      </c>
      <c r="AK47" s="11" t="n">
        <v>0.0850575444875325</v>
      </c>
      <c r="AL47" s="11" t="n">
        <v>0.0856761920612092</v>
      </c>
      <c r="AM47" s="11" t="n">
        <v>0.0916319440299271</v>
      </c>
      <c r="AN47" s="11" t="n">
        <v>0.0909217827303403</v>
      </c>
      <c r="AO47" s="11" t="n">
        <v>0.0887842092101223</v>
      </c>
      <c r="AP47" s="11" t="n">
        <v>0.087420592819318</v>
      </c>
      <c r="AQ47" s="11" t="n">
        <v>0.0851256715166789</v>
      </c>
      <c r="AR47" s="11" t="n">
        <v>0.0818524064943757</v>
      </c>
      <c r="AS47" s="11" t="n">
        <v>0.0774992849513038</v>
      </c>
      <c r="AT47" s="11" t="n">
        <v>0.0735861299024111</v>
      </c>
      <c r="AU47" s="11" t="n">
        <v>0.0698399119472463</v>
      </c>
      <c r="AV47" s="11" t="n">
        <v>0.0662771964785813</v>
      </c>
      <c r="AW47" s="11" t="n">
        <v>0.0630099982073769</v>
      </c>
      <c r="AX47" s="11" t="n">
        <v>0.0600152051912518</v>
      </c>
      <c r="AY47" s="11" t="n">
        <v>0.0572451705051194</v>
      </c>
      <c r="AZ47" s="11" t="n">
        <v>0.0547459242141848</v>
      </c>
      <c r="BA47" s="11" t="n">
        <v>0.052504695893635</v>
      </c>
      <c r="BB47" s="11" t="n">
        <v>0.0504407502252322</v>
      </c>
      <c r="BC47" s="11" t="n">
        <v>0.0486241645346054</v>
      </c>
      <c r="BD47" s="11" t="n">
        <v>0.0469414542475856</v>
      </c>
      <c r="BE47" s="11" t="n">
        <v>0.0455899136763954</v>
      </c>
      <c r="BF47" s="11" t="n">
        <v>0.0444078648804305</v>
      </c>
      <c r="BG47" s="11" t="n">
        <v>0.0434457880445697</v>
      </c>
      <c r="BH47" s="11" t="n">
        <v>0.0427220977945153</v>
      </c>
      <c r="BI47" s="11" t="n">
        <v>0.0421881206021258</v>
      </c>
      <c r="BJ47" s="11" t="n">
        <v>0.0417235753429197</v>
      </c>
      <c r="BK47" s="11" t="n">
        <v>0.0413881166836883</v>
      </c>
      <c r="BL47" s="11" t="n">
        <v>0.0411596515024323</v>
      </c>
      <c r="BM47" s="11" t="n">
        <v>0.0410012940919093</v>
      </c>
      <c r="BN47" s="11" t="n">
        <v>0.444434720850917</v>
      </c>
      <c r="BO47" s="11" t="n">
        <v>0.387903404812016</v>
      </c>
      <c r="BP47" s="11" t="n">
        <v>0.301293494596514</v>
      </c>
      <c r="BQ47" s="11" t="n">
        <v>0.244100978577454</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0.890620745807166</v>
      </c>
      <c r="X48" s="11" t="n">
        <v>0.844914398363468</v>
      </c>
      <c r="Y48" s="11" t="n">
        <v>0.849296904955032</v>
      </c>
      <c r="Z48" s="11" t="n">
        <v>0.862456549136757</v>
      </c>
      <c r="AA48" s="11" t="n">
        <v>0.877239206896131</v>
      </c>
      <c r="AB48" s="11" t="n">
        <v>0.894622354167945</v>
      </c>
      <c r="AC48" s="11" t="n">
        <v>0.934204816450957</v>
      </c>
      <c r="AD48" s="11" t="n">
        <v>0.949799549113104</v>
      </c>
      <c r="AE48" s="11" t="n">
        <v>0.987987362907361</v>
      </c>
      <c r="AF48" s="11" t="n">
        <v>1.00785908615541</v>
      </c>
      <c r="AG48" s="11" t="n">
        <v>1.01707539544984</v>
      </c>
      <c r="AH48" s="11" t="n">
        <v>0.991684737617365</v>
      </c>
      <c r="AI48" s="11" t="n">
        <v>0.871004562768477</v>
      </c>
      <c r="AJ48" s="11" t="n">
        <v>0.922070495488821</v>
      </c>
      <c r="AK48" s="11" t="n">
        <v>0.917810058079545</v>
      </c>
      <c r="AL48" s="11" t="n">
        <v>0.895428540077311</v>
      </c>
      <c r="AM48" s="11" t="n">
        <v>0.962369082226078</v>
      </c>
      <c r="AN48" s="11" t="n">
        <v>0.95786369188556</v>
      </c>
      <c r="AO48" s="11" t="n">
        <v>0.940650820060079</v>
      </c>
      <c r="AP48" s="11" t="n">
        <v>0.921570784413182</v>
      </c>
      <c r="AQ48" s="11" t="n">
        <v>0.897843672333401</v>
      </c>
      <c r="AR48" s="11" t="n">
        <v>0.869491933650172</v>
      </c>
      <c r="AS48" s="11" t="n">
        <v>0.83786957293044</v>
      </c>
      <c r="AT48" s="11" t="n">
        <v>0.81025834508956</v>
      </c>
      <c r="AU48" s="11" t="n">
        <v>0.785267163383232</v>
      </c>
      <c r="AV48" s="11" t="n">
        <v>0.762943035281686</v>
      </c>
      <c r="AW48" s="11" t="n">
        <v>0.744410741645247</v>
      </c>
      <c r="AX48" s="11" t="n">
        <v>0.729205940391074</v>
      </c>
      <c r="AY48" s="11" t="n">
        <v>0.716558688772612</v>
      </c>
      <c r="AZ48" s="11" t="n">
        <v>0.7059381310408</v>
      </c>
      <c r="BA48" s="11" t="n">
        <v>0.697596618407828</v>
      </c>
      <c r="BB48" s="11" t="n">
        <v>0.691107090055717</v>
      </c>
      <c r="BC48" s="11" t="n">
        <v>0.685959456952279</v>
      </c>
      <c r="BD48" s="11" t="n">
        <v>0.680476971121131</v>
      </c>
      <c r="BE48" s="11" t="n">
        <v>0.676580738691277</v>
      </c>
      <c r="BF48" s="11" t="n">
        <v>0.673482466236612</v>
      </c>
      <c r="BG48" s="11" t="n">
        <v>0.671615244097823</v>
      </c>
      <c r="BH48" s="11" t="n">
        <v>0.670603688725513</v>
      </c>
      <c r="BI48" s="11" t="n">
        <v>0.670398676514809</v>
      </c>
      <c r="BJ48" s="11" t="n">
        <v>0.670366128320408</v>
      </c>
      <c r="BK48" s="11" t="n">
        <v>0.671255785945946</v>
      </c>
      <c r="BL48" s="11" t="n">
        <v>0.672943877409662</v>
      </c>
      <c r="BM48" s="11" t="n">
        <v>0.674357377996643</v>
      </c>
      <c r="BN48" s="11" t="n">
        <v>4.67788291866221</v>
      </c>
      <c r="BO48" s="11" t="n">
        <v>4.20073068738681</v>
      </c>
      <c r="BP48" s="11" t="n">
        <v>3.65905653713142</v>
      </c>
      <c r="BQ48" s="11" t="n">
        <v>3.43172087522823</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0.00758704295400535</v>
      </c>
      <c r="I49" s="11" t="n">
        <v>0.0191457948826393</v>
      </c>
      <c r="J49" s="11" t="n">
        <v>0.0440129237321048</v>
      </c>
      <c r="K49" s="11" t="n">
        <v>0.0831984283549992</v>
      </c>
      <c r="L49" s="11" t="n">
        <v>0.134713168733324</v>
      </c>
      <c r="M49" s="11" t="n">
        <v>0.197418800105337</v>
      </c>
      <c r="N49" s="11" t="n">
        <v>0.270937175183438</v>
      </c>
      <c r="O49" s="11" t="n">
        <v>0.35528562086966</v>
      </c>
      <c r="P49" s="11" t="n">
        <v>0.448308759564938</v>
      </c>
      <c r="Q49" s="11" t="n">
        <v>0.546724386901232</v>
      </c>
      <c r="R49" s="11" t="n">
        <v>0.654719622747928</v>
      </c>
      <c r="S49" s="11" t="n">
        <v>0.770609828397742</v>
      </c>
      <c r="T49" s="11" t="n">
        <v>0.892033502650137</v>
      </c>
      <c r="U49" s="11" t="n">
        <v>1.02536768411097</v>
      </c>
      <c r="V49" s="11" t="n">
        <v>1.14915773447392</v>
      </c>
      <c r="W49" s="11" t="n">
        <v>1.26245622236332</v>
      </c>
      <c r="X49" s="11" t="n">
        <v>1.36457098844073</v>
      </c>
      <c r="Y49" s="11" t="n">
        <v>1.46641832911833</v>
      </c>
      <c r="Z49" s="11" t="n">
        <v>1.56361602612155</v>
      </c>
      <c r="AA49" s="11" t="n">
        <v>1.6562995095492</v>
      </c>
      <c r="AB49" s="11" t="n">
        <v>1.74334686161733</v>
      </c>
      <c r="AC49" s="11" t="n">
        <v>1.81859099804214</v>
      </c>
      <c r="AD49" s="11" t="n">
        <v>1.87431155708176</v>
      </c>
      <c r="AE49" s="11" t="n">
        <v>1.90597752814992</v>
      </c>
      <c r="AF49" s="11" t="n">
        <v>1.89620238264926</v>
      </c>
      <c r="AG49" s="11" t="n">
        <v>1.85777666435984</v>
      </c>
      <c r="AH49" s="11" t="n">
        <v>1.80208979252265</v>
      </c>
      <c r="AI49" s="11" t="n">
        <v>1.73121633411536</v>
      </c>
      <c r="AJ49" s="11" t="n">
        <v>1.65076911278086</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0.568631066193109</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37.8563107926445</v>
      </c>
      <c r="AN53" s="11" t="n">
        <v>26.0354598693328</v>
      </c>
      <c r="AO53" s="11" t="n">
        <v>23.7279843885429</v>
      </c>
      <c r="AP53" s="11" t="n">
        <v>21.3030383884329</v>
      </c>
      <c r="AQ53" s="11" t="n">
        <v>20.7268310938677</v>
      </c>
      <c r="AR53" s="11" t="n">
        <v>21.05615447684</v>
      </c>
      <c r="AS53" s="11" t="n">
        <v>23.1519783240405</v>
      </c>
      <c r="AT53" s="11" t="n">
        <v>23.6862581664426</v>
      </c>
      <c r="AU53" s="11" t="n">
        <v>24.9455011946849</v>
      </c>
      <c r="AV53" s="11" t="n">
        <v>26.316738078766</v>
      </c>
      <c r="AW53" s="11" t="n">
        <v>27.7129005369693</v>
      </c>
      <c r="AX53" s="11" t="n">
        <v>28.8990655245726</v>
      </c>
      <c r="AY53" s="11" t="n">
        <v>28.0476806182266</v>
      </c>
      <c r="AZ53" s="11" t="n">
        <v>27.9230720071344</v>
      </c>
      <c r="BA53" s="11" t="n">
        <v>28.259321872319</v>
      </c>
      <c r="BB53" s="11" t="n">
        <v>28.6150607921325</v>
      </c>
      <c r="BC53" s="11" t="n">
        <v>29.1743615327164</v>
      </c>
      <c r="BD53" s="11" t="n">
        <v>30.4904665019906</v>
      </c>
      <c r="BE53" s="11" t="n">
        <v>32.1471843310503</v>
      </c>
      <c r="BF53" s="11" t="n">
        <v>33.3973333995245</v>
      </c>
      <c r="BG53" s="11" t="n">
        <v>34.6242287217524</v>
      </c>
      <c r="BH53" s="11" t="n">
        <v>35.2322579851566</v>
      </c>
      <c r="BI53" s="11" t="n">
        <v>36.3998733965673</v>
      </c>
      <c r="BJ53" s="11" t="n">
        <v>37.3891069881895</v>
      </c>
      <c r="BK53" s="11" t="n">
        <v>38.7557697250203</v>
      </c>
      <c r="BL53" s="11" t="n">
        <v>39.350926509434</v>
      </c>
      <c r="BM53" s="11" t="n">
        <v>40.6313725821124</v>
      </c>
      <c r="BN53" s="11" t="n">
        <v>152.253694490148</v>
      </c>
      <c r="BO53" s="11" t="n">
        <v>113.566723255876</v>
      </c>
      <c r="BP53" s="11" t="n">
        <v>138.899456765669</v>
      </c>
      <c r="BQ53" s="11" t="n">
        <v>148.686395030209</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0.0709247278374883</v>
      </c>
      <c r="I54" s="11" t="n">
        <v>0.0742130274626892</v>
      </c>
      <c r="J54" s="11" t="n">
        <v>0.0748808413651573</v>
      </c>
      <c r="K54" s="11" t="n">
        <v>0.0758501153320661</v>
      </c>
      <c r="L54" s="11" t="n">
        <v>0.0732454613383986</v>
      </c>
      <c r="M54" s="11" t="n">
        <v>0.0774811747973583</v>
      </c>
      <c r="N54" s="11" t="n">
        <v>0.0793672420704025</v>
      </c>
      <c r="O54" s="11" t="n">
        <v>0.0846894349742251</v>
      </c>
      <c r="P54" s="11" t="n">
        <v>0.0917537201635203</v>
      </c>
      <c r="Q54" s="11" t="n">
        <v>0.0907429907796952</v>
      </c>
      <c r="R54" s="11" t="n">
        <v>0.0941428339572569</v>
      </c>
      <c r="S54" s="11" t="n">
        <v>0.0957489905159301</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0.211350425583012</v>
      </c>
      <c r="AE54" s="11" t="n">
        <v>0.220751805792713</v>
      </c>
      <c r="AF54" s="11" t="n">
        <v>0.222246360185227</v>
      </c>
      <c r="AG54" s="11" t="n">
        <v>0.249516926143695</v>
      </c>
      <c r="AH54" s="11" t="n">
        <v>0.272413021693873</v>
      </c>
      <c r="AI54" s="11" t="n">
        <v>0.274611055142342</v>
      </c>
      <c r="AJ54" s="11" t="n">
        <v>0.29493541718883</v>
      </c>
      <c r="AK54" s="11" t="n">
        <v>0.268806108474927</v>
      </c>
      <c r="AL54" s="11" t="n">
        <v>0.261550530209526</v>
      </c>
      <c r="AM54" s="11" t="n">
        <v>0.37970982641791</v>
      </c>
      <c r="AN54" s="11" t="n">
        <v>0.373152524093164</v>
      </c>
      <c r="AO54" s="11" t="n">
        <v>0.364150604389079</v>
      </c>
      <c r="AP54" s="11" t="n">
        <v>0.335743013231101</v>
      </c>
      <c r="AQ54" s="11" t="n">
        <v>0.247123194395579</v>
      </c>
      <c r="AR54" s="11" t="n">
        <v>0.240951806363599</v>
      </c>
      <c r="AS54" s="11" t="n">
        <v>0.226793440004245</v>
      </c>
      <c r="AT54" s="11" t="n">
        <v>0.225515700941987</v>
      </c>
      <c r="AU54" s="11" t="n">
        <v>0.182070064039083</v>
      </c>
      <c r="AV54" s="11" t="n">
        <v>0.183039441620555</v>
      </c>
      <c r="AW54" s="11" t="n">
        <v>0.183452085889461</v>
      </c>
      <c r="AX54" s="11" t="n">
        <v>0.160654890927591</v>
      </c>
      <c r="AY54" s="11" t="n">
        <v>0.156944364708549</v>
      </c>
      <c r="AZ54" s="11" t="n">
        <v>0.152249964022387</v>
      </c>
      <c r="BA54" s="11" t="n">
        <v>0.15418448221977</v>
      </c>
      <c r="BB54" s="11" t="n">
        <v>0.15479362916323</v>
      </c>
      <c r="BC54" s="11" t="n">
        <v>0.153667507160329</v>
      </c>
      <c r="BD54" s="11" t="n">
        <v>0.149336929198104</v>
      </c>
      <c r="BE54" s="11" t="n">
        <v>0.141719279594686</v>
      </c>
      <c r="BF54" s="11" t="n">
        <v>0.139085629633179</v>
      </c>
      <c r="BG54" s="11" t="n">
        <v>0.139869320151641</v>
      </c>
      <c r="BH54" s="11" t="n">
        <v>0.140843069571816</v>
      </c>
      <c r="BI54" s="11" t="n">
        <v>0.141613528560582</v>
      </c>
      <c r="BJ54" s="11" t="n">
        <v>0.142459530181755</v>
      </c>
      <c r="BK54" s="11" t="n">
        <v>0.143543187687845</v>
      </c>
      <c r="BL54" s="11" t="n">
        <v>0.144335495240573</v>
      </c>
      <c r="BM54" s="11" t="n">
        <v>0.145486099165834</v>
      </c>
      <c r="BN54" s="11" t="n">
        <v>1.71430649834078</v>
      </c>
      <c r="BO54" s="11" t="n">
        <v>1.12245420574449</v>
      </c>
      <c r="BP54" s="11" t="n">
        <v>0.836340747168542</v>
      </c>
      <c r="BQ54" s="11" t="n">
        <v>0.753701827336118</v>
      </c>
    </row>
    <row r="55" customFormat="false" ht="13.8" hidden="false" customHeight="false" outlineLevel="0" collapsed="false">
      <c r="A55" s="11" t="s">
        <v>155</v>
      </c>
      <c r="B55" s="11" t="s">
        <v>147</v>
      </c>
      <c r="C55" s="11" t="s">
        <v>139</v>
      </c>
      <c r="D55" s="12"/>
      <c r="E55" s="11" t="n">
        <v>0.984987691558184</v>
      </c>
      <c r="F55" s="11" t="n">
        <v>0.970048388417934</v>
      </c>
      <c r="G55" s="11" t="n">
        <v>0.910617933265949</v>
      </c>
      <c r="H55" s="11" t="n">
        <v>0.771978697012649</v>
      </c>
      <c r="I55" s="11" t="n">
        <v>0.737321268443208</v>
      </c>
      <c r="J55" s="11" t="n">
        <v>0.709397209019641</v>
      </c>
      <c r="K55" s="11" t="n">
        <v>0.6612887889585</v>
      </c>
      <c r="L55" s="11" t="n">
        <v>0.568914048515287</v>
      </c>
      <c r="M55" s="11" t="n">
        <v>0.586389592586241</v>
      </c>
      <c r="N55" s="11" t="n">
        <v>0.513498687002719</v>
      </c>
      <c r="O55" s="11" t="n">
        <v>0.574804572248271</v>
      </c>
      <c r="P55" s="11" t="n">
        <v>0.632355500344122</v>
      </c>
      <c r="Q55" s="11" t="n">
        <v>0.597481798965218</v>
      </c>
      <c r="R55" s="11" t="n">
        <v>0.652412845375287</v>
      </c>
      <c r="S55" s="11" t="n">
        <v>0.634687425943724</v>
      </c>
      <c r="T55" s="11" t="n">
        <v>0.672744029106066</v>
      </c>
      <c r="U55" s="11" t="n">
        <v>0.726225392133559</v>
      </c>
      <c r="V55" s="11" t="n">
        <v>0.673849210882455</v>
      </c>
      <c r="W55" s="11" t="n">
        <v>0.637459708292023</v>
      </c>
      <c r="X55" s="11" t="n">
        <v>0.548443507955348</v>
      </c>
      <c r="Y55" s="11" t="n">
        <v>0.577056570762781</v>
      </c>
      <c r="Z55" s="11" t="n">
        <v>0.580114063030645</v>
      </c>
      <c r="AA55" s="11" t="n">
        <v>0.739849019698221</v>
      </c>
      <c r="AB55" s="11" t="n">
        <v>0.714748016401048</v>
      </c>
      <c r="AC55" s="11" t="n">
        <v>0.62046564927776</v>
      </c>
      <c r="AD55" s="11" t="n">
        <v>0.568838988121384</v>
      </c>
      <c r="AE55" s="11" t="n">
        <v>0.39786726674901</v>
      </c>
      <c r="AF55" s="11" t="n">
        <v>0.365313374041686</v>
      </c>
      <c r="AG55" s="11" t="n">
        <v>0.377926428764218</v>
      </c>
      <c r="AH55" s="11" t="n">
        <v>0.368168520875392</v>
      </c>
      <c r="AI55" s="11" t="n">
        <v>0.365816544629617</v>
      </c>
      <c r="AJ55" s="11" t="n">
        <v>0.393674218221008</v>
      </c>
      <c r="AK55" s="11" t="n">
        <v>0.35714368175873</v>
      </c>
      <c r="AL55" s="11" t="n">
        <v>0.341045187738303</v>
      </c>
      <c r="AM55" s="11" t="n">
        <v>0.486334882072618</v>
      </c>
      <c r="AN55" s="11" t="n">
        <v>0.469167067935617</v>
      </c>
      <c r="AO55" s="11" t="n">
        <v>0.458177422014684</v>
      </c>
      <c r="AP55" s="11" t="n">
        <v>0.422743243841845</v>
      </c>
      <c r="AQ55" s="11" t="n">
        <v>0.3113986406926</v>
      </c>
      <c r="AR55" s="11" t="n">
        <v>0.30334709692167</v>
      </c>
      <c r="AS55" s="11" t="n">
        <v>0.285188297656549</v>
      </c>
      <c r="AT55" s="11" t="n">
        <v>0.283495307281397</v>
      </c>
      <c r="AU55" s="11" t="n">
        <v>0.228522782162698</v>
      </c>
      <c r="AV55" s="11" t="n">
        <v>0.229499727546252</v>
      </c>
      <c r="AW55" s="11" t="n">
        <v>0.2297770980178</v>
      </c>
      <c r="AX55" s="11" t="n">
        <v>0.200836221726018</v>
      </c>
      <c r="AY55" s="11" t="n">
        <v>0.196282230308781</v>
      </c>
      <c r="AZ55" s="11" t="n">
        <v>0.1903692249776</v>
      </c>
      <c r="BA55" s="11" t="n">
        <v>0.192724373337991</v>
      </c>
      <c r="BB55" s="11" t="n">
        <v>0.193418523473231</v>
      </c>
      <c r="BC55" s="11" t="n">
        <v>0.191852181290888</v>
      </c>
      <c r="BD55" s="11" t="n">
        <v>0.186174166267512</v>
      </c>
      <c r="BE55" s="11" t="n">
        <v>0.176281442592545</v>
      </c>
      <c r="BF55" s="11" t="n">
        <v>0.172714245802148</v>
      </c>
      <c r="BG55" s="11" t="n">
        <v>0.173371193197353</v>
      </c>
      <c r="BH55" s="11" t="n">
        <v>0.174203759653418</v>
      </c>
      <c r="BI55" s="11" t="n">
        <v>0.175003902803093</v>
      </c>
      <c r="BJ55" s="11" t="n">
        <v>0.175891922046177</v>
      </c>
      <c r="BK55" s="11" t="n">
        <v>0.177021526174031</v>
      </c>
      <c r="BL55" s="11" t="n">
        <v>0.177793343081663</v>
      </c>
      <c r="BM55" s="11" t="n">
        <v>0.178897625465312</v>
      </c>
      <c r="BN55" s="11" t="n">
        <v>2.17746780360307</v>
      </c>
      <c r="BO55" s="11" t="n">
        <v>1.41195212471491</v>
      </c>
      <c r="BP55" s="11" t="n">
        <v>1.04676450257645</v>
      </c>
      <c r="BQ55" s="11" t="n">
        <v>0.940450686962166</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25.3591531693564</v>
      </c>
      <c r="AO60" s="11" t="n">
        <v>24.3902505241421</v>
      </c>
      <c r="AP60" s="11" t="n">
        <v>23.7479625709455</v>
      </c>
      <c r="AQ60" s="11" t="n">
        <v>22.8828276693348</v>
      </c>
      <c r="AR60" s="11" t="n">
        <v>22.0273269851422</v>
      </c>
      <c r="AS60" s="11" t="n">
        <v>20.7747676251761</v>
      </c>
      <c r="AT60" s="11" t="n">
        <v>19.4729144877724</v>
      </c>
      <c r="AU60" s="11" t="n">
        <v>18.7205563766634</v>
      </c>
      <c r="AV60" s="11" t="n">
        <v>17.7258939050736</v>
      </c>
      <c r="AW60" s="11" t="n">
        <v>17.2999713301299</v>
      </c>
      <c r="AX60" s="11" t="n">
        <v>16.8778871680528</v>
      </c>
      <c r="AY60" s="11" t="n">
        <v>14.956399519502</v>
      </c>
      <c r="AZ60" s="11" t="n">
        <v>14.5866686694846</v>
      </c>
      <c r="BA60" s="11" t="n">
        <v>14.0569681976281</v>
      </c>
      <c r="BB60" s="11" t="n">
        <v>13.2903241999379</v>
      </c>
      <c r="BC60" s="11" t="n">
        <v>12.9486030455595</v>
      </c>
      <c r="BD60" s="11" t="n">
        <v>11.7521583158021</v>
      </c>
      <c r="BE60" s="11" t="n">
        <v>10.9918258859325</v>
      </c>
      <c r="BF60" s="11" t="n">
        <v>10.6837683609477</v>
      </c>
      <c r="BG60" s="11" t="n">
        <v>10.6172794313597</v>
      </c>
      <c r="BH60" s="11" t="n">
        <v>10.5448123772727</v>
      </c>
      <c r="BI60" s="11" t="n">
        <v>10.4970485828388</v>
      </c>
      <c r="BJ60" s="11" t="n">
        <v>10.4354604295882</v>
      </c>
      <c r="BK60" s="11" t="n">
        <v>10.1696338685391</v>
      </c>
      <c r="BL60" s="11" t="n">
        <v>9.78132287196763</v>
      </c>
      <c r="BM60" s="11" t="n">
        <v>9.61113218257743</v>
      </c>
      <c r="BN60" s="11" t="n">
        <v>124.508226727687</v>
      </c>
      <c r="BO60" s="11" t="n">
        <v>103.878393144089</v>
      </c>
      <c r="BP60" s="11" t="n">
        <v>81.4468205922428</v>
      </c>
      <c r="BQ60" s="11" t="n">
        <v>63.0398796448601</v>
      </c>
    </row>
    <row r="61" customFormat="false" ht="13.8" hidden="false" customHeight="false" outlineLevel="0" collapsed="false">
      <c r="A61" s="11" t="s">
        <v>154</v>
      </c>
      <c r="B61" s="11" t="s">
        <v>148</v>
      </c>
      <c r="C61" s="11" t="s">
        <v>139</v>
      </c>
      <c r="D61" s="12"/>
      <c r="E61" s="11" t="n">
        <v>38.4113671371213</v>
      </c>
      <c r="F61" s="11" t="n">
        <v>38.8552949596067</v>
      </c>
      <c r="G61" s="11" t="n">
        <v>38.5388169594932</v>
      </c>
      <c r="H61" s="11" t="n">
        <v>36.3124596311372</v>
      </c>
      <c r="I61" s="11" t="n">
        <v>28.232131676279</v>
      </c>
      <c r="J61" s="11" t="n">
        <v>29.6414159904183</v>
      </c>
      <c r="K61" s="11" t="n">
        <v>27.8829795223238</v>
      </c>
      <c r="L61" s="11" t="n">
        <v>25.7455049253289</v>
      </c>
      <c r="M61" s="11" t="n">
        <v>23.2122609443943</v>
      </c>
      <c r="N61" s="11" t="n">
        <v>20.3132652404912</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10.4437304627497</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6.1985245851059</v>
      </c>
      <c r="AH61" s="11" t="n">
        <v>6.23642575869865</v>
      </c>
      <c r="AI61" s="11" t="n">
        <v>5.73448917987444</v>
      </c>
      <c r="AJ61" s="11" t="n">
        <v>5.38414606680817</v>
      </c>
      <c r="AK61" s="11" t="n">
        <v>5.0278931495823</v>
      </c>
      <c r="AL61" s="11" t="n">
        <v>4.74375700324067</v>
      </c>
      <c r="AM61" s="11" t="n">
        <v>4.67597743631238</v>
      </c>
      <c r="AN61" s="11" t="n">
        <v>4.61599929038524</v>
      </c>
      <c r="AO61" s="11" t="n">
        <v>4.52093286324975</v>
      </c>
      <c r="AP61" s="11" t="n">
        <v>4.43591791737764</v>
      </c>
      <c r="AQ61" s="11" t="n">
        <v>4.3423821796757</v>
      </c>
      <c r="AR61" s="11" t="n">
        <v>4.27442118408934</v>
      </c>
      <c r="AS61" s="11" t="n">
        <v>4.16866100037699</v>
      </c>
      <c r="AT61" s="11" t="n">
        <v>4.09053141261671</v>
      </c>
      <c r="AU61" s="11" t="n">
        <v>4.00843164632209</v>
      </c>
      <c r="AV61" s="11" t="n">
        <v>3.92718653600089</v>
      </c>
      <c r="AW61" s="11" t="n">
        <v>3.91723614502083</v>
      </c>
      <c r="AX61" s="11" t="n">
        <v>3.90915673784083</v>
      </c>
      <c r="AY61" s="11" t="n">
        <v>3.85052488827332</v>
      </c>
      <c r="AZ61" s="11" t="n">
        <v>3.80318571676851</v>
      </c>
      <c r="BA61" s="11" t="n">
        <v>3.79946311431426</v>
      </c>
      <c r="BB61" s="11" t="n">
        <v>3.78134955828115</v>
      </c>
      <c r="BC61" s="11" t="n">
        <v>3.77414428906427</v>
      </c>
      <c r="BD61" s="11" t="n">
        <v>3.71340094245421</v>
      </c>
      <c r="BE61" s="11" t="n">
        <v>3.67523834541363</v>
      </c>
      <c r="BF61" s="11" t="n">
        <v>3.6674769890667</v>
      </c>
      <c r="BG61" s="11" t="n">
        <v>3.66388696376427</v>
      </c>
      <c r="BH61" s="11" t="n">
        <v>3.65965514047362</v>
      </c>
      <c r="BI61" s="11" t="n">
        <v>3.65673585108685</v>
      </c>
      <c r="BJ61" s="11" t="n">
        <v>3.64498858367929</v>
      </c>
      <c r="BK61" s="11" t="n">
        <v>3.63192191683191</v>
      </c>
      <c r="BL61" s="11" t="n">
        <v>3.61835020791623</v>
      </c>
      <c r="BM61" s="11" t="n">
        <v>3.61167435868151</v>
      </c>
      <c r="BN61" s="11" t="n">
        <v>22.9925845105657</v>
      </c>
      <c r="BO61" s="11" t="n">
        <v>20.8844274230808</v>
      </c>
      <c r="BP61" s="11" t="n">
        <v>19.4072900239044</v>
      </c>
      <c r="BQ61" s="11" t="n">
        <v>18.7435962495275</v>
      </c>
    </row>
    <row r="62" customFormat="false" ht="13.8" hidden="false" customHeight="false" outlineLevel="0" collapsed="false">
      <c r="A62" s="11" t="s">
        <v>155</v>
      </c>
      <c r="B62" s="11" t="s">
        <v>148</v>
      </c>
      <c r="C62" s="11" t="s">
        <v>139</v>
      </c>
      <c r="D62" s="12"/>
      <c r="E62" s="11" t="n">
        <v>0.327529834632892</v>
      </c>
      <c r="F62" s="11" t="n">
        <v>0.328440613603457</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v>
      </c>
      <c r="W62" s="11" t="n">
        <v>0.379880436716057</v>
      </c>
      <c r="X62" s="11" t="n">
        <v>0.37277068789526</v>
      </c>
      <c r="Y62" s="11" t="n">
        <v>0.365140849631604</v>
      </c>
      <c r="Z62" s="11" t="n">
        <v>0.342415857790606</v>
      </c>
      <c r="AA62" s="11" t="n">
        <v>0.315708552441489</v>
      </c>
      <c r="AB62" s="11" t="n">
        <v>0.305020823964381</v>
      </c>
      <c r="AC62" s="11" t="n">
        <v>0.299790969640709</v>
      </c>
      <c r="AD62" s="11" t="n">
        <v>0.320768095937011</v>
      </c>
      <c r="AE62" s="11" t="n">
        <v>0.322075958204864</v>
      </c>
      <c r="AF62" s="11" t="n">
        <v>0.311959670394575</v>
      </c>
      <c r="AG62" s="11" t="n">
        <v>0.309251429820355</v>
      </c>
      <c r="AH62" s="11" t="n">
        <v>0.315565079233617</v>
      </c>
      <c r="AI62" s="11" t="n">
        <v>0.301940140392352</v>
      </c>
      <c r="AJ62" s="11" t="n">
        <v>0.258278891681824</v>
      </c>
      <c r="AK62" s="11" t="n">
        <v>0.242181704439128</v>
      </c>
      <c r="AL62" s="11" t="n">
        <v>0.236275707145654</v>
      </c>
      <c r="AM62" s="11" t="n">
        <v>0.308341110741022</v>
      </c>
      <c r="AN62" s="11" t="n">
        <v>0.290673009834788</v>
      </c>
      <c r="AO62" s="11" t="n">
        <v>0.282077178381836</v>
      </c>
      <c r="AP62" s="11" t="n">
        <v>0.270603773716638</v>
      </c>
      <c r="AQ62" s="11" t="n">
        <v>0.263018196088857</v>
      </c>
      <c r="AR62" s="11" t="n">
        <v>0.252823427589912</v>
      </c>
      <c r="AS62" s="11" t="n">
        <v>0.242981211856651</v>
      </c>
      <c r="AT62" s="11" t="n">
        <v>0.229963980732011</v>
      </c>
      <c r="AU62" s="11" t="n">
        <v>0.212743996834986</v>
      </c>
      <c r="AV62" s="11" t="n">
        <v>0.195113543235526</v>
      </c>
      <c r="AW62" s="11" t="n">
        <v>0.193401001139417</v>
      </c>
      <c r="AX62" s="11" t="n">
        <v>0.190829909762537</v>
      </c>
      <c r="AY62" s="11" t="n">
        <v>0.170462661030253</v>
      </c>
      <c r="AZ62" s="11" t="n">
        <v>0.075354531397205</v>
      </c>
      <c r="BA62" s="11" t="n">
        <v>0.0750857516002426</v>
      </c>
      <c r="BB62" s="11" t="n">
        <v>0.0661231888079782</v>
      </c>
      <c r="BC62" s="11" t="n">
        <v>0.0656599548721252</v>
      </c>
      <c r="BD62" s="11" t="n">
        <v>0.0448179911623009</v>
      </c>
      <c r="BE62" s="11" t="n">
        <v>0.0350875929585099</v>
      </c>
      <c r="BF62" s="11" t="n">
        <v>0.0350236444747878</v>
      </c>
      <c r="BG62" s="11" t="n">
        <v>0.0349114628884258</v>
      </c>
      <c r="BH62" s="11" t="n">
        <v>0.0312702960320053</v>
      </c>
      <c r="BI62" s="11" t="n">
        <v>0.0313755270266208</v>
      </c>
      <c r="BJ62" s="11" t="n">
        <v>0.0303200516041645</v>
      </c>
      <c r="BK62" s="11" t="n">
        <v>0.0245658757432797</v>
      </c>
      <c r="BL62" s="11" t="n">
        <v>0.019924671272187</v>
      </c>
      <c r="BM62" s="11" t="n">
        <v>0.0173001062331578</v>
      </c>
      <c r="BN62" s="11" t="n">
        <v>1.38797077981994</v>
      </c>
      <c r="BO62" s="11" t="n">
        <v>1.20153081310242</v>
      </c>
      <c r="BP62" s="11" t="n">
        <v>0.825161646564938</v>
      </c>
      <c r="BQ62" s="11" t="n">
        <v>0.286774479401157</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42.2854516274598</v>
      </c>
      <c r="AO67" s="11" t="n">
        <v>41.7707813394059</v>
      </c>
      <c r="AP67" s="11" t="n">
        <v>41.5934433206711</v>
      </c>
      <c r="AQ67" s="11" t="n">
        <v>40.6529292936652</v>
      </c>
      <c r="AR67" s="11" t="n">
        <v>40.8988517236249</v>
      </c>
      <c r="AS67" s="11" t="n">
        <v>39.8915129383533</v>
      </c>
      <c r="AT67" s="11" t="n">
        <v>39.8118351341012</v>
      </c>
      <c r="AU67" s="11" t="n">
        <v>39.4555517100467</v>
      </c>
      <c r="AV67" s="11" t="n">
        <v>38.7600386061301</v>
      </c>
      <c r="AW67" s="11" t="n">
        <v>38.2436403553886</v>
      </c>
      <c r="AX67" s="11" t="n">
        <v>38.0378403608337</v>
      </c>
      <c r="AY67" s="11" t="n">
        <v>37.4369056973882</v>
      </c>
      <c r="AZ67" s="11" t="n">
        <v>36.676290782145</v>
      </c>
      <c r="BA67" s="11" t="n">
        <v>36.5017063589597</v>
      </c>
      <c r="BB67" s="11" t="n">
        <v>36.5267615346145</v>
      </c>
      <c r="BC67" s="11" t="n">
        <v>36.245334898323</v>
      </c>
      <c r="BD67" s="11" t="n">
        <v>36.7181610178511</v>
      </c>
      <c r="BE67" s="11" t="n">
        <v>37.243533409706</v>
      </c>
      <c r="BF67" s="11" t="n">
        <v>37.1705954372477</v>
      </c>
      <c r="BG67" s="11" t="n">
        <v>36.8699339781966</v>
      </c>
      <c r="BH67" s="11" t="n">
        <v>36.4110196957223</v>
      </c>
      <c r="BI67" s="11" t="n">
        <v>35.9249032819482</v>
      </c>
      <c r="BJ67" s="11" t="n">
        <v>35.2192232593229</v>
      </c>
      <c r="BK67" s="11" t="n">
        <v>35.4142849459432</v>
      </c>
      <c r="BL67" s="11" t="n">
        <v>34.2983836372689</v>
      </c>
      <c r="BM67" s="11" t="n">
        <v>33.7457847671173</v>
      </c>
      <c r="BN67" s="11" t="n">
        <v>206.71297591066</v>
      </c>
      <c r="BO67" s="11" t="n">
        <v>200.710680799791</v>
      </c>
      <c r="BP67" s="11" t="n">
        <v>189.154715801886</v>
      </c>
      <c r="BQ67" s="11" t="n">
        <v>183.235497219454</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0.00474727849323506</v>
      </c>
      <c r="AO68" s="11" t="n">
        <v>0.00469061998524104</v>
      </c>
      <c r="AP68" s="11" t="n">
        <v>0.00465445147417582</v>
      </c>
      <c r="AQ68" s="11" t="n">
        <v>0.00456482887308517</v>
      </c>
      <c r="AR68" s="11" t="n">
        <v>0.00456429385427989</v>
      </c>
      <c r="AS68" s="11" t="n">
        <v>0.00447132558491666</v>
      </c>
      <c r="AT68" s="11" t="n">
        <v>0.00444734026270878</v>
      </c>
      <c r="AU68" s="11" t="n">
        <v>0.00440543682735449</v>
      </c>
      <c r="AV68" s="11" t="n">
        <v>0.00433655265149583</v>
      </c>
      <c r="AW68" s="11" t="n">
        <v>0.00428058629175956</v>
      </c>
      <c r="AX68" s="11" t="n">
        <v>0.00425262128105525</v>
      </c>
      <c r="AY68" s="11" t="n">
        <v>0.00420099548791325</v>
      </c>
      <c r="AZ68" s="11" t="n">
        <v>0.00413801287142161</v>
      </c>
      <c r="BA68" s="11" t="n">
        <v>0.00411135712895239</v>
      </c>
      <c r="BB68" s="11" t="n">
        <v>0.00410272794771994</v>
      </c>
      <c r="BC68" s="11" t="n">
        <v>0.00406758667652021</v>
      </c>
      <c r="BD68" s="11" t="n">
        <v>0.00408499135390556</v>
      </c>
      <c r="BE68" s="11" t="n">
        <v>0.00410441600476228</v>
      </c>
      <c r="BF68" s="11" t="n">
        <v>0.00403025616226962</v>
      </c>
      <c r="BG68" s="11" t="n">
        <v>0.00393521830299817</v>
      </c>
      <c r="BH68" s="11" t="n">
        <v>0.00382893380372485</v>
      </c>
      <c r="BI68" s="11" t="n">
        <v>0.00372177663548755</v>
      </c>
      <c r="BJ68" s="11" t="n">
        <v>0.00359841362465889</v>
      </c>
      <c r="BK68" s="11" t="n">
        <v>0.00354149099584186</v>
      </c>
      <c r="BL68" s="11" t="n">
        <v>0.00339307111445951</v>
      </c>
      <c r="BM68" s="11" t="n">
        <v>0.00328939497250166</v>
      </c>
      <c r="BN68" s="11" t="n">
        <v>0.0234573861217455</v>
      </c>
      <c r="BO68" s="11" t="n">
        <v>0.022453225402345</v>
      </c>
      <c r="BP68" s="11" t="n">
        <v>0.0212087685836455</v>
      </c>
      <c r="BQ68" s="11" t="n">
        <v>0.0204710791118604</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0.380713431354324</v>
      </c>
      <c r="AO69" s="11" t="n">
        <v>0.3760941681642</v>
      </c>
      <c r="AP69" s="11" t="n">
        <v>0.374287049131831</v>
      </c>
      <c r="AQ69" s="11" t="n">
        <v>0.366025893740407</v>
      </c>
      <c r="AR69" s="11" t="n">
        <v>0.367875717364998</v>
      </c>
      <c r="AS69" s="11" t="n">
        <v>0.359066716761752</v>
      </c>
      <c r="AT69" s="11" t="n">
        <v>0.358154654378939</v>
      </c>
      <c r="AU69" s="11" t="n">
        <v>0.354922235027332</v>
      </c>
      <c r="AV69" s="11" t="n">
        <v>0.348779324844331</v>
      </c>
      <c r="AW69" s="11" t="n">
        <v>0.344155974965956</v>
      </c>
      <c r="AX69" s="11" t="n">
        <v>0.34224015610735</v>
      </c>
      <c r="AY69" s="11" t="n">
        <v>0.337034731780727</v>
      </c>
      <c r="AZ69" s="11" t="n">
        <v>0.330476687789769</v>
      </c>
      <c r="BA69" s="11" t="n">
        <v>0.328813499062031</v>
      </c>
      <c r="BB69" s="11" t="n">
        <v>0.328890966736787</v>
      </c>
      <c r="BC69" s="11" t="n">
        <v>0.326311261194557</v>
      </c>
      <c r="BD69" s="11" t="n">
        <v>0.330106464536919</v>
      </c>
      <c r="BE69" s="11" t="n">
        <v>0.334324547725099</v>
      </c>
      <c r="BF69" s="11" t="n">
        <v>0.332813876170709</v>
      </c>
      <c r="BG69" s="11" t="n">
        <v>0.329313599533671</v>
      </c>
      <c r="BH69" s="11" t="n">
        <v>0.324472906813636</v>
      </c>
      <c r="BI69" s="11" t="n">
        <v>0.319415537667506</v>
      </c>
      <c r="BJ69" s="11" t="n">
        <v>0.312490651731376</v>
      </c>
      <c r="BK69" s="11" t="n">
        <v>0.313226546855994</v>
      </c>
      <c r="BL69" s="11" t="n">
        <v>0.302880077357479</v>
      </c>
      <c r="BM69" s="11" t="n">
        <v>0.297365817178083</v>
      </c>
      <c r="BN69" s="11" t="n">
        <v>1.86436199274068</v>
      </c>
      <c r="BO69" s="11" t="n">
        <v>1.80604521727343</v>
      </c>
      <c r="BP69" s="11" t="n">
        <v>1.70268687548813</v>
      </c>
      <c r="BQ69" s="11" t="n">
        <v>1.64844673925539</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41.8267072065194</v>
      </c>
      <c r="AN74" s="11" t="n">
        <v>39.5703779127978</v>
      </c>
      <c r="AO74" s="11" t="n">
        <v>38.9115794350757</v>
      </c>
      <c r="AP74" s="11" t="n">
        <v>38.9180802156915</v>
      </c>
      <c r="AQ74" s="11" t="n">
        <v>38.9022693037958</v>
      </c>
      <c r="AR74" s="11" t="n">
        <v>38.8782616040982</v>
      </c>
      <c r="AS74" s="11" t="n">
        <v>38.9142226178169</v>
      </c>
      <c r="AT74" s="11" t="n">
        <v>39.0406597594191</v>
      </c>
      <c r="AU74" s="11" t="n">
        <v>39.3240076002987</v>
      </c>
      <c r="AV74" s="11" t="n">
        <v>39.5478354921516</v>
      </c>
      <c r="AW74" s="11" t="n">
        <v>39.4574456000847</v>
      </c>
      <c r="AX74" s="11" t="n">
        <v>39.5452823317313</v>
      </c>
      <c r="AY74" s="11" t="n">
        <v>39.652807520216</v>
      </c>
      <c r="AZ74" s="11" t="n">
        <v>40.0073722079698</v>
      </c>
      <c r="BA74" s="11" t="n">
        <v>40.2328642941531</v>
      </c>
      <c r="BB74" s="11" t="n">
        <v>40.5154397858836</v>
      </c>
      <c r="BC74" s="11" t="n">
        <v>41.1568064611027</v>
      </c>
      <c r="BD74" s="11" t="n">
        <v>41.9792441007322</v>
      </c>
      <c r="BE74" s="11" t="n">
        <v>42.3732228669169</v>
      </c>
      <c r="BF74" s="11" t="n">
        <v>42.806380002795</v>
      </c>
      <c r="BG74" s="11" t="n">
        <v>43.1795707786054</v>
      </c>
      <c r="BH74" s="11" t="n">
        <v>43.6750002290073</v>
      </c>
      <c r="BI74" s="11" t="n">
        <v>44.2732781407916</v>
      </c>
      <c r="BJ74" s="11" t="n">
        <v>44.7374787952926</v>
      </c>
      <c r="BK74" s="11" t="n">
        <v>45.2237627723088</v>
      </c>
      <c r="BL74" s="11" t="n">
        <v>45.7677866616982</v>
      </c>
      <c r="BM74" s="11" t="n">
        <v>46.2986055555456</v>
      </c>
      <c r="BN74" s="11" t="n">
        <v>210.771890196045</v>
      </c>
      <c r="BO74" s="11" t="n">
        <v>195.059420885429</v>
      </c>
      <c r="BP74" s="11" t="n">
        <v>198.210743152153</v>
      </c>
      <c r="BQ74" s="11" t="n">
        <v>206.257577508788</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0.124219774039943</v>
      </c>
      <c r="AN75" s="11" t="n">
        <v>0.121822151490621</v>
      </c>
      <c r="AO75" s="11" t="n">
        <v>0.121748048960528</v>
      </c>
      <c r="AP75" s="11" t="n">
        <v>0.121554333252143</v>
      </c>
      <c r="AQ75" s="11" t="n">
        <v>0.122342080991233</v>
      </c>
      <c r="AR75" s="11" t="n">
        <v>0.122468834367959</v>
      </c>
      <c r="AS75" s="11" t="n">
        <v>0.122572649225274</v>
      </c>
      <c r="AT75" s="11" t="n">
        <v>0.123241155462487</v>
      </c>
      <c r="AU75" s="11" t="n">
        <v>0.12342794661442</v>
      </c>
      <c r="AV75" s="11" t="n">
        <v>0.122915990140964</v>
      </c>
      <c r="AW75" s="11" t="n">
        <v>0.121350850774948</v>
      </c>
      <c r="AX75" s="11" t="n">
        <v>0.118265113505618</v>
      </c>
      <c r="AY75" s="11" t="n">
        <v>0.115186149902274</v>
      </c>
      <c r="AZ75" s="11" t="n">
        <v>0.110467149121542</v>
      </c>
      <c r="BA75" s="11" t="n">
        <v>0.10764220458559</v>
      </c>
      <c r="BB75" s="11" t="n">
        <v>0.106914221874669</v>
      </c>
      <c r="BC75" s="11" t="n">
        <v>0.107728657146722</v>
      </c>
      <c r="BD75" s="11" t="n">
        <v>0.108291304455462</v>
      </c>
      <c r="BE75" s="11" t="n">
        <v>0.108406821877812</v>
      </c>
      <c r="BF75" s="11" t="n">
        <v>0.109762532106492</v>
      </c>
      <c r="BG75" s="11" t="n">
        <v>0.11113952684547</v>
      </c>
      <c r="BH75" s="11" t="n">
        <v>0.112391618226058</v>
      </c>
      <c r="BI75" s="11" t="n">
        <v>0.113508230082535</v>
      </c>
      <c r="BJ75" s="11" t="n">
        <v>0.114611421314968</v>
      </c>
      <c r="BK75" s="11" t="n">
        <v>0.115848248617538</v>
      </c>
      <c r="BL75" s="11" t="n">
        <v>0.117403312116271</v>
      </c>
      <c r="BM75" s="11" t="n">
        <v>0.118973724642092</v>
      </c>
      <c r="BN75" s="11" t="n">
        <v>0.625946576941848</v>
      </c>
      <c r="BO75" s="11" t="n">
        <v>0.614052666661373</v>
      </c>
      <c r="BP75" s="11" t="n">
        <v>0.588185253445346</v>
      </c>
      <c r="BQ75" s="11" t="n">
        <v>0.538983209940255</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4.86435115055119</v>
      </c>
      <c r="O76" s="11" t="n">
        <v>5.03119711253612</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0.482486962557309</v>
      </c>
      <c r="AB76" s="11" t="n">
        <v>0.429079725761066</v>
      </c>
      <c r="AC76" s="11" t="n">
        <v>0.460815168912919</v>
      </c>
      <c r="AD76" s="11" t="n">
        <v>0.418050736965471</v>
      </c>
      <c r="AE76" s="11" t="n">
        <v>0.386513048337779</v>
      </c>
      <c r="AF76" s="11" t="n">
        <v>0.412200815328678</v>
      </c>
      <c r="AG76" s="11" t="n">
        <v>0.429228078343805</v>
      </c>
      <c r="AH76" s="11" t="n">
        <v>0.415869088543474</v>
      </c>
      <c r="AI76" s="11" t="n">
        <v>0.341792392713469</v>
      </c>
      <c r="AJ76" s="11" t="n">
        <v>0.338920120245381</v>
      </c>
      <c r="AK76" s="11" t="n">
        <v>0.304056990866258</v>
      </c>
      <c r="AL76" s="11" t="n">
        <v>0.320998168689842</v>
      </c>
      <c r="AM76" s="11" t="n">
        <v>0.308762907490412</v>
      </c>
      <c r="AN76" s="11" t="n">
        <v>0.308178956703349</v>
      </c>
      <c r="AO76" s="11" t="n">
        <v>0.3087712294661</v>
      </c>
      <c r="AP76" s="11" t="n">
        <v>0.309378043012861</v>
      </c>
      <c r="AQ76" s="11" t="n">
        <v>0.310828952286765</v>
      </c>
      <c r="AR76" s="11" t="n">
        <v>0.312741559417516</v>
      </c>
      <c r="AS76" s="11" t="n">
        <v>0.315245207218653</v>
      </c>
      <c r="AT76" s="11" t="n">
        <v>0.316992657909058</v>
      </c>
      <c r="AU76" s="11" t="n">
        <v>0.318088030682245</v>
      </c>
      <c r="AV76" s="11" t="n">
        <v>0.318319368359214</v>
      </c>
      <c r="AW76" s="11" t="n">
        <v>0.31780041862814</v>
      </c>
      <c r="AX76" s="11" t="n">
        <v>0.315447667704004</v>
      </c>
      <c r="AY76" s="11" t="n">
        <v>0.312530556545898</v>
      </c>
      <c r="AZ76" s="11" t="n">
        <v>0.30875533968018</v>
      </c>
      <c r="BA76" s="11" t="n">
        <v>0.308197286697221</v>
      </c>
      <c r="BB76" s="11" t="n">
        <v>0.310716982030156</v>
      </c>
      <c r="BC76" s="11" t="n">
        <v>0.313887417463538</v>
      </c>
      <c r="BD76" s="11" t="n">
        <v>0.316923822221573</v>
      </c>
      <c r="BE76" s="11" t="n">
        <v>0.319312859476154</v>
      </c>
      <c r="BF76" s="11" t="n">
        <v>0.323285151744424</v>
      </c>
      <c r="BG76" s="11" t="n">
        <v>0.32729841197586</v>
      </c>
      <c r="BH76" s="11" t="n">
        <v>0.331149142662285</v>
      </c>
      <c r="BI76" s="11" t="n">
        <v>0.33535313750434</v>
      </c>
      <c r="BJ76" s="11" t="n">
        <v>0.339552346458953</v>
      </c>
      <c r="BK76" s="11" t="n">
        <v>0.343925495685295</v>
      </c>
      <c r="BL76" s="11" t="n">
        <v>0.348721421579661</v>
      </c>
      <c r="BM76" s="11" t="n">
        <v>0.353539905018938</v>
      </c>
      <c r="BN76" s="11" t="n">
        <v>1.55608930536256</v>
      </c>
      <c r="BO76" s="11" t="n">
        <v>1.57389640751424</v>
      </c>
      <c r="BP76" s="11" t="n">
        <v>1.57285335091744</v>
      </c>
      <c r="BQ76" s="11" t="n">
        <v>1.56903836788864</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14.0785716356003</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2.69499743669116</v>
      </c>
      <c r="S77" s="11" t="n">
        <v>1.12703958186289</v>
      </c>
      <c r="T77" s="11" t="n">
        <v>1.17738858479048</v>
      </c>
      <c r="U77" s="11" t="n">
        <v>1.18654379751043</v>
      </c>
      <c r="V77" s="11" t="n">
        <v>0.998444187189309</v>
      </c>
      <c r="W77" s="11" t="n">
        <v>0.98434467653681</v>
      </c>
      <c r="X77" s="11" t="n">
        <v>0.986717488794266</v>
      </c>
      <c r="Y77" s="11" t="n">
        <v>1.04360027741906</v>
      </c>
      <c r="Z77" s="11" t="n">
        <v>1.12555768771586</v>
      </c>
      <c r="AA77" s="11" t="n">
        <v>1.18240823535114</v>
      </c>
      <c r="AB77" s="11" t="n">
        <v>1.19754396726382</v>
      </c>
      <c r="AC77" s="11" t="n">
        <v>1.09407297472769</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0.482864113787379</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0.186590750928914</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0.0919996124852703</v>
      </c>
      <c r="BH77" s="11" t="n">
        <v>0.0844347772643882</v>
      </c>
      <c r="BI77" s="11" t="n">
        <v>0.0775333629874345</v>
      </c>
      <c r="BJ77" s="11" t="n">
        <v>0.0713179532877864</v>
      </c>
      <c r="BK77" s="11" t="n">
        <v>0.0658073414465578</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1.48366130882975</v>
      </c>
      <c r="F78" s="11" t="n">
        <v>1.24305334298279</v>
      </c>
      <c r="G78" s="11" t="n">
        <v>0.617640551647897</v>
      </c>
      <c r="H78" s="11" t="n">
        <v>0.538700846476154</v>
      </c>
      <c r="I78" s="11" t="n">
        <v>0.546409279966551</v>
      </c>
      <c r="J78" s="11" t="n">
        <v>0.532812121772292</v>
      </c>
      <c r="K78" s="11" t="n">
        <v>0.530646387885412</v>
      </c>
      <c r="L78" s="11" t="n">
        <v>0.44445268402011</v>
      </c>
      <c r="M78" s="11" t="n">
        <v>0.43171766732139</v>
      </c>
      <c r="N78" s="11" t="n">
        <v>0.407642882276656</v>
      </c>
      <c r="O78" s="11" t="n">
        <v>0.51344845306472</v>
      </c>
      <c r="P78" s="11" t="n">
        <v>0.426851949457178</v>
      </c>
      <c r="Q78" s="11" t="n">
        <v>0.358954196446408</v>
      </c>
      <c r="R78" s="11" t="n">
        <v>0.313808976049458</v>
      </c>
      <c r="S78" s="11" t="n">
        <v>0.398856113928176</v>
      </c>
      <c r="T78" s="11" t="n">
        <v>0.365128105171605</v>
      </c>
      <c r="U78" s="11" t="n">
        <v>0.367555231485997</v>
      </c>
      <c r="V78" s="11" t="n">
        <v>0.276529099776064</v>
      </c>
      <c r="W78" s="11" t="n">
        <v>0.254880819288731</v>
      </c>
      <c r="X78" s="11" t="n">
        <v>0.19500676652889</v>
      </c>
      <c r="Y78" s="11" t="n">
        <v>0.281496039558142</v>
      </c>
      <c r="Z78" s="11" t="n">
        <v>0.399303588048535</v>
      </c>
      <c r="AA78" s="11" t="n">
        <v>0.243138181819986</v>
      </c>
      <c r="AB78" s="11" t="n">
        <v>0.294217429839836</v>
      </c>
      <c r="AC78" s="11" t="n">
        <v>0.23782779605641</v>
      </c>
      <c r="AD78" s="11" t="n">
        <v>0.274427975434271</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0.145322964863699</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0.788373788456026</v>
      </c>
      <c r="BP78" s="11" t="n">
        <v>0.788373788456026</v>
      </c>
      <c r="BQ78" s="11" t="n">
        <v>0.788373788456026</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0.426418736992623</v>
      </c>
      <c r="AE79" s="11" t="n">
        <v>0.458386532676318</v>
      </c>
      <c r="AF79" s="11" t="n">
        <v>0.460093295564997</v>
      </c>
      <c r="AG79" s="11" t="n">
        <v>0.565037427403676</v>
      </c>
      <c r="AH79" s="11" t="n">
        <v>0.49719676355469</v>
      </c>
      <c r="AI79" s="11" t="n">
        <v>0.425406162786779</v>
      </c>
      <c r="AJ79" s="11" t="n">
        <v>0.38749956929647</v>
      </c>
      <c r="AK79" s="11" t="n">
        <v>0.333442729385777</v>
      </c>
      <c r="AL79" s="11" t="n">
        <v>0.301791676439176</v>
      </c>
      <c r="AM79" s="11" t="n">
        <v>0.307854862676676</v>
      </c>
      <c r="AN79" s="11" t="n">
        <v>0.314290204270113</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0.372815184884234</v>
      </c>
      <c r="AW79" s="11" t="n">
        <v>0.380977508595361</v>
      </c>
      <c r="AX79" s="11" t="n">
        <v>0.389343890399265</v>
      </c>
      <c r="AY79" s="11" t="n">
        <v>0.389343890399265</v>
      </c>
      <c r="AZ79" s="11" t="n">
        <v>0.389343890399265</v>
      </c>
      <c r="BA79" s="11" t="n">
        <v>0.389343890399265</v>
      </c>
      <c r="BB79" s="11" t="n">
        <v>0.389343890399265</v>
      </c>
      <c r="BC79" s="11" t="n">
        <v>0.389343890399265</v>
      </c>
      <c r="BD79" s="11" t="n">
        <v>0.389343890399265</v>
      </c>
      <c r="BE79" s="11" t="n">
        <v>0.389343890399265</v>
      </c>
      <c r="BF79" s="11" t="n">
        <v>0.389343890399265</v>
      </c>
      <c r="BG79" s="11" t="n">
        <v>0.389343890399265</v>
      </c>
      <c r="BH79" s="11" t="n">
        <v>0.389343890399265</v>
      </c>
      <c r="BI79" s="11" t="n">
        <v>0.389343890399265</v>
      </c>
      <c r="BJ79" s="11" t="n">
        <v>0.389343890399265</v>
      </c>
      <c r="BK79" s="11" t="n">
        <v>0.389343890399265</v>
      </c>
      <c r="BL79" s="11" t="n">
        <v>0.389343890399265</v>
      </c>
      <c r="BM79" s="11" t="n">
        <v>0.389343890399265</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5.55186504357902</v>
      </c>
      <c r="H82" s="11" t="n">
        <v>5.54746647872344</v>
      </c>
      <c r="I82" s="11" t="n">
        <v>5.53902951394119</v>
      </c>
      <c r="J82" s="11" t="n">
        <v>5.54965155198649</v>
      </c>
      <c r="K82" s="11" t="n">
        <v>5.53405930164697</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5.57797283010562</v>
      </c>
      <c r="X82" s="11" t="n">
        <v>5.57878522339053</v>
      </c>
      <c r="Y82" s="11" t="n">
        <v>5.60501096444991</v>
      </c>
      <c r="Z82" s="11" t="n">
        <v>5.62372281146323</v>
      </c>
      <c r="AA82" s="11" t="n">
        <v>5.61193731105979</v>
      </c>
      <c r="AB82" s="11" t="n">
        <v>5.62617031143543</v>
      </c>
      <c r="AC82" s="11" t="n">
        <v>5.60602836886574</v>
      </c>
      <c r="AD82" s="11" t="n">
        <v>5.62278898771431</v>
      </c>
      <c r="AE82" s="11" t="n">
        <v>5.64143854355453</v>
      </c>
      <c r="AF82" s="11" t="n">
        <v>5.63907784389892</v>
      </c>
      <c r="AG82" s="11" t="n">
        <v>5.69160270708721</v>
      </c>
      <c r="AH82" s="11" t="n">
        <v>5.70956542589149</v>
      </c>
      <c r="AI82" s="11" t="n">
        <v>5.68909600002544</v>
      </c>
      <c r="AJ82" s="11" t="n">
        <v>5.69657165648638</v>
      </c>
      <c r="AK82" s="11" t="n">
        <v>5.71939302059153</v>
      </c>
      <c r="AL82" s="11" t="n">
        <v>5.75129142539663</v>
      </c>
      <c r="AM82" s="11" t="n">
        <v>5.77843961940047</v>
      </c>
      <c r="AN82" s="11" t="n">
        <v>5.82893431121417</v>
      </c>
      <c r="AO82" s="11" t="n">
        <v>5.87516461238546</v>
      </c>
      <c r="AP82" s="11" t="n">
        <v>5.92092678246998</v>
      </c>
      <c r="AQ82" s="11" t="n">
        <v>5.96055627423853</v>
      </c>
      <c r="AR82" s="11" t="n">
        <v>6.00469813847712</v>
      </c>
      <c r="AS82" s="11" t="n">
        <v>6.04871755683646</v>
      </c>
      <c r="AT82" s="11" t="n">
        <v>6.05489975770093</v>
      </c>
      <c r="AU82" s="11" t="n">
        <v>6.05930697368643</v>
      </c>
      <c r="AV82" s="11" t="n">
        <v>6.05892463983378</v>
      </c>
      <c r="AW82" s="11" t="n">
        <v>6.05840612219305</v>
      </c>
      <c r="AX82" s="11" t="n">
        <v>6.05759619889438</v>
      </c>
      <c r="AY82" s="11" t="n">
        <v>6.05669382061206</v>
      </c>
      <c r="AZ82" s="11" t="n">
        <v>6.05564215321823</v>
      </c>
      <c r="BA82" s="11" t="n">
        <v>6.05407666296171</v>
      </c>
      <c r="BB82" s="11" t="n">
        <v>6.05265111772195</v>
      </c>
      <c r="BC82" s="11" t="n">
        <v>6.05111180786035</v>
      </c>
      <c r="BD82" s="11" t="n">
        <v>6.05087833472176</v>
      </c>
      <c r="BE82" s="11" t="n">
        <v>6.05117502944991</v>
      </c>
      <c r="BF82" s="11" t="n">
        <v>6.05153060471665</v>
      </c>
      <c r="BG82" s="11" t="n">
        <v>6.04367299685357</v>
      </c>
      <c r="BH82" s="11" t="n">
        <v>6.03767307245211</v>
      </c>
      <c r="BI82" s="11" t="n">
        <v>6.02978817960862</v>
      </c>
      <c r="BJ82" s="11" t="n">
        <v>6.02218043965274</v>
      </c>
      <c r="BK82" s="11" t="n">
        <v>6.01467645946509</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1.54590973355711</v>
      </c>
      <c r="U83" s="11" t="n">
        <v>1.51233022580462</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23.2896131299309</v>
      </c>
      <c r="AD89" s="11" t="n">
        <v>22.4598930752036</v>
      </c>
      <c r="AE89" s="11" t="n">
        <v>21.2504093971715</v>
      </c>
      <c r="AF89" s="11" t="n">
        <v>21.5202362651174</v>
      </c>
      <c r="AG89" s="11" t="n">
        <v>21.3909566422106</v>
      </c>
      <c r="AH89" s="11" t="n">
        <v>20.9216203724665</v>
      </c>
      <c r="AI89" s="11" t="n">
        <v>19.3965300882596</v>
      </c>
      <c r="AJ89" s="11" t="n">
        <v>18.2511641416297</v>
      </c>
      <c r="AK89" s="11" t="n">
        <v>18.1536780644355</v>
      </c>
      <c r="AL89" s="11" t="n">
        <v>17.9881834052639</v>
      </c>
      <c r="AM89" s="11" t="n">
        <v>17.1816180724298</v>
      </c>
      <c r="AN89" s="11" t="n">
        <v>16.805332368613</v>
      </c>
      <c r="AO89" s="11" t="n">
        <v>16.3804599170286</v>
      </c>
      <c r="AP89" s="11" t="n">
        <v>16.6856540403366</v>
      </c>
      <c r="AQ89" s="11" t="n">
        <v>15.7084044980238</v>
      </c>
      <c r="AR89" s="11" t="n">
        <v>14.8484486297686</v>
      </c>
      <c r="AS89" s="11" t="n">
        <v>14.058023031111</v>
      </c>
      <c r="AT89" s="11" t="n">
        <v>13.3612765882142</v>
      </c>
      <c r="AU89" s="11" t="n">
        <v>12.7482354035582</v>
      </c>
      <c r="AV89" s="11" t="n">
        <v>12.2106731334783</v>
      </c>
      <c r="AW89" s="11" t="n">
        <v>11.7432322229737</v>
      </c>
      <c r="AX89" s="11" t="n">
        <v>11.3381303755507</v>
      </c>
      <c r="AY89" s="11" t="n">
        <v>10.9873473505523</v>
      </c>
      <c r="AZ89" s="11" t="n">
        <v>10.6831763987796</v>
      </c>
      <c r="BA89" s="11" t="n">
        <v>10.4215025415605</v>
      </c>
      <c r="BB89" s="11" t="n">
        <v>10.1985929507016</v>
      </c>
      <c r="BC89" s="11" t="n">
        <v>10.0113030599559</v>
      </c>
      <c r="BD89" s="11" t="n">
        <v>9.89321071609362</v>
      </c>
      <c r="BE89" s="11" t="n">
        <v>9.8046886607539</v>
      </c>
      <c r="BF89" s="11" t="n">
        <v>9.74328347267451</v>
      </c>
      <c r="BG89" s="11" t="n">
        <v>9.70676731636727</v>
      </c>
      <c r="BH89" s="11" t="n">
        <v>9.69387380412161</v>
      </c>
      <c r="BI89" s="11" t="n">
        <v>9.7013006501212</v>
      </c>
      <c r="BJ89" s="11" t="n">
        <v>9.72719598973844</v>
      </c>
      <c r="BK89" s="11" t="n">
        <v>9.77005327826599</v>
      </c>
      <c r="BL89" s="11" t="n">
        <v>9.82869102542336</v>
      </c>
      <c r="BM89" s="11" t="n">
        <v>9.90200865914175</v>
      </c>
      <c r="BN89" s="11" t="n">
        <v>85.0412478036718</v>
      </c>
      <c r="BO89" s="11" t="n">
        <v>70.7243881506757</v>
      </c>
      <c r="BP89" s="11" t="n">
        <v>56.9625594813346</v>
      </c>
      <c r="BQ89" s="11" t="n">
        <v>50.3292979290655</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0.904938172599068</v>
      </c>
      <c r="I90" s="11" t="n">
        <v>0.914476012595916</v>
      </c>
      <c r="J90" s="11" t="n">
        <v>0.933558892577923</v>
      </c>
      <c r="K90" s="11" t="n">
        <v>0.968449580784931</v>
      </c>
      <c r="L90" s="11" t="n">
        <v>0.97969326745571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160</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v>
      </c>
      <c r="H4" s="11" t="n">
        <v>778.360752029278</v>
      </c>
      <c r="I4" s="11" t="n">
        <v>765.820753611057</v>
      </c>
      <c r="J4" s="11" t="n">
        <v>759.200161760264</v>
      </c>
      <c r="K4" s="11" t="n">
        <v>779.071811500093</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366.399069378922</v>
      </c>
      <c r="AO4" s="11" t="n">
        <v>363.755036386112</v>
      </c>
      <c r="AP4" s="11" t="n">
        <v>356.926670784928</v>
      </c>
      <c r="AQ4" s="11" t="n">
        <v>348.825493667196</v>
      </c>
      <c r="AR4" s="11" t="n">
        <v>341.416354587453</v>
      </c>
      <c r="AS4" s="11" t="n">
        <v>335.052424629997</v>
      </c>
      <c r="AT4" s="11" t="n">
        <v>327.994594856362</v>
      </c>
      <c r="AU4" s="11" t="n">
        <v>322.714842923548</v>
      </c>
      <c r="AV4" s="11" t="n">
        <v>318.736263136564</v>
      </c>
      <c r="AW4" s="11" t="n">
        <v>316.093916423208</v>
      </c>
      <c r="AX4" s="11" t="n">
        <v>313.849883425831</v>
      </c>
      <c r="AY4" s="11" t="n">
        <v>308.513535187775</v>
      </c>
      <c r="AZ4" s="11" t="n">
        <v>305.197553676064</v>
      </c>
      <c r="BA4" s="11" t="n">
        <v>302.329578774853</v>
      </c>
      <c r="BB4" s="11" t="n">
        <v>299.808819129288</v>
      </c>
      <c r="BC4" s="11" t="n">
        <v>298.252134814723</v>
      </c>
      <c r="BD4" s="11" t="n">
        <v>297.552243517372</v>
      </c>
      <c r="BE4" s="11" t="n">
        <v>297.036423874985</v>
      </c>
      <c r="BF4" s="11" t="n">
        <v>296.930337897371</v>
      </c>
      <c r="BG4" s="11" t="n">
        <v>297.426598421044</v>
      </c>
      <c r="BH4" s="11" t="n">
        <v>297.279538323053</v>
      </c>
      <c r="BI4" s="11" t="n">
        <v>297.757516358069</v>
      </c>
      <c r="BJ4" s="11" t="n">
        <v>298.403481799805</v>
      </c>
      <c r="BK4" s="11" t="n">
        <v>299.661816685502</v>
      </c>
      <c r="BL4" s="11" t="n">
        <v>299.406611917567</v>
      </c>
      <c r="BM4" s="11" t="n">
        <v>300.443269463083</v>
      </c>
      <c r="BN4" s="11" t="n">
        <v>1843.81282001533</v>
      </c>
      <c r="BO4" s="11" t="n">
        <v>1676.00371066456</v>
      </c>
      <c r="BP4" s="11" t="n">
        <v>1562.39115184944</v>
      </c>
      <c r="BQ4" s="11" t="n">
        <v>1494.97920011122</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409.539282268611</v>
      </c>
      <c r="AO5" s="11" t="n">
        <v>406.949083603084</v>
      </c>
      <c r="AP5" s="11" t="n">
        <v>400.16297736702</v>
      </c>
      <c r="AQ5" s="11" t="n">
        <v>391.096410105799</v>
      </c>
      <c r="AR5" s="11" t="n">
        <v>383.959843717707</v>
      </c>
      <c r="AS5" s="11" t="n">
        <v>376.558423565042</v>
      </c>
      <c r="AT5" s="11" t="n">
        <v>369.419687035858</v>
      </c>
      <c r="AU5" s="11" t="n">
        <v>363.772156503867</v>
      </c>
      <c r="AV5" s="11" t="n">
        <v>359.070604914758</v>
      </c>
      <c r="AW5" s="11" t="n">
        <v>355.891885746808</v>
      </c>
      <c r="AX5" s="11" t="n">
        <v>353.438070220167</v>
      </c>
      <c r="AY5" s="11" t="n">
        <v>347.479755120843</v>
      </c>
      <c r="AZ5" s="11" t="n">
        <v>343.374287282155</v>
      </c>
      <c r="BA5" s="11" t="n">
        <v>340.329613305428</v>
      </c>
      <c r="BB5" s="11" t="n">
        <v>337.840106422468</v>
      </c>
      <c r="BC5" s="11" t="n">
        <v>335.99421193899</v>
      </c>
      <c r="BD5" s="11" t="n">
        <v>335.766542183196</v>
      </c>
      <c r="BE5" s="11" t="n">
        <v>335.777130198428</v>
      </c>
      <c r="BF5" s="11" t="n">
        <v>335.577610880007</v>
      </c>
      <c r="BG5" s="11" t="n">
        <v>335.743153640084</v>
      </c>
      <c r="BH5" s="11" t="n">
        <v>335.100574296543</v>
      </c>
      <c r="BI5" s="11" t="n">
        <v>335.054825224087</v>
      </c>
      <c r="BJ5" s="11" t="n">
        <v>334.948863797219</v>
      </c>
      <c r="BK5" s="11" t="n">
        <v>336.392723171913</v>
      </c>
      <c r="BL5" s="11" t="n">
        <v>334.959457315004</v>
      </c>
      <c r="BM5" s="11" t="n">
        <v>335.404087777143</v>
      </c>
      <c r="BN5" s="11" t="n">
        <v>2055.18931870747</v>
      </c>
      <c r="BO5" s="11" t="n">
        <v>1884.80652092827</v>
      </c>
      <c r="BP5" s="11" t="n">
        <v>1759.25460328473</v>
      </c>
      <c r="BQ5" s="11" t="n">
        <v>1685.70760404851</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366.399069378922</v>
      </c>
      <c r="AO6" s="11" t="n">
        <v>363.755036386112</v>
      </c>
      <c r="AP6" s="11" t="n">
        <v>356.926670784928</v>
      </c>
      <c r="AQ6" s="11" t="n">
        <v>348.825493667196</v>
      </c>
      <c r="AR6" s="11" t="n">
        <v>341.416354587453</v>
      </c>
      <c r="AS6" s="11" t="n">
        <v>335.052424629997</v>
      </c>
      <c r="AT6" s="11" t="n">
        <v>327.994594856362</v>
      </c>
      <c r="AU6" s="11" t="n">
        <v>322.714842923548</v>
      </c>
      <c r="AV6" s="11" t="n">
        <v>359.070604914758</v>
      </c>
      <c r="AW6" s="11" t="n">
        <v>355.891885746808</v>
      </c>
      <c r="AX6" s="11" t="n">
        <v>353.438070220167</v>
      </c>
      <c r="AY6" s="11" t="n">
        <v>347.479755120843</v>
      </c>
      <c r="AZ6" s="11" t="n">
        <v>343.374287282155</v>
      </c>
      <c r="BA6" s="11"/>
      <c r="BB6" s="11"/>
      <c r="BC6" s="11"/>
      <c r="BD6" s="11"/>
      <c r="BE6" s="11"/>
      <c r="BF6" s="11"/>
      <c r="BG6" s="11"/>
      <c r="BH6" s="11"/>
      <c r="BI6" s="11"/>
      <c r="BJ6" s="11"/>
      <c r="BK6" s="11"/>
      <c r="BL6" s="11"/>
      <c r="BM6" s="11"/>
      <c r="BN6" s="11" t="n">
        <v>1843.81282001533</v>
      </c>
      <c r="BO6" s="11" t="n">
        <v>1676.00371066456</v>
      </c>
      <c r="BP6" s="11" t="n">
        <v>1759.25460328473</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366.399069378922</v>
      </c>
      <c r="AO7" s="11" t="n">
        <v>363.755036386112</v>
      </c>
      <c r="AP7" s="11" t="n">
        <v>356.926670784928</v>
      </c>
      <c r="AQ7" s="11" t="n">
        <v>348.825493667196</v>
      </c>
      <c r="AR7" s="11" t="n">
        <v>341.416354587453</v>
      </c>
      <c r="AS7" s="11" t="n">
        <v>335.052424629997</v>
      </c>
      <c r="AT7" s="11" t="n">
        <v>327.994594856362</v>
      </c>
      <c r="AU7" s="11" t="n">
        <v>322.714842923548</v>
      </c>
      <c r="AV7" s="11"/>
      <c r="AW7" s="11"/>
      <c r="AX7" s="11"/>
      <c r="AY7" s="11"/>
      <c r="AZ7" s="11"/>
      <c r="BA7" s="11"/>
      <c r="BB7" s="11"/>
      <c r="BC7" s="11"/>
      <c r="BD7" s="11"/>
      <c r="BE7" s="11"/>
      <c r="BF7" s="11"/>
      <c r="BG7" s="11"/>
      <c r="BH7" s="11"/>
      <c r="BI7" s="11"/>
      <c r="BJ7" s="11"/>
      <c r="BK7" s="11"/>
      <c r="BL7" s="11"/>
      <c r="BM7" s="11"/>
      <c r="BN7" s="11" t="n">
        <v>1843.81282001533</v>
      </c>
      <c r="BO7" s="11" t="n">
        <v>1676.00371066456</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359.070604914758</v>
      </c>
      <c r="AW8" s="11" t="n">
        <v>355.891885746808</v>
      </c>
      <c r="AX8" s="11" t="n">
        <v>353.438070220167</v>
      </c>
      <c r="AY8" s="11" t="n">
        <v>347.479755120843</v>
      </c>
      <c r="AZ8" s="11" t="n">
        <v>343.374287282155</v>
      </c>
      <c r="BA8" s="11"/>
      <c r="BB8" s="11"/>
      <c r="BC8" s="11"/>
      <c r="BD8" s="11"/>
      <c r="BE8" s="11"/>
      <c r="BF8" s="11"/>
      <c r="BG8" s="11"/>
      <c r="BH8" s="11"/>
      <c r="BI8" s="11"/>
      <c r="BJ8" s="11"/>
      <c r="BK8" s="11"/>
      <c r="BL8" s="11"/>
      <c r="BM8" s="11"/>
      <c r="BN8" s="11"/>
      <c r="BO8" s="11"/>
      <c r="BP8" s="11" t="n">
        <v>1759.25460328473</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93.7043511201761</v>
      </c>
      <c r="AJ10" s="11" t="n">
        <v>98.2009567177289</v>
      </c>
      <c r="AK10" s="11" t="n">
        <v>83.4998821959421</v>
      </c>
      <c r="AL10" s="11" t="n">
        <v>78.4758175684127</v>
      </c>
      <c r="AM10" s="11" t="n">
        <v>81.0366508749843</v>
      </c>
      <c r="AN10" s="11" t="n">
        <v>84.4063004218765</v>
      </c>
      <c r="AO10" s="11" t="n">
        <v>84.8934038533207</v>
      </c>
      <c r="AP10" s="11" t="n">
        <v>86.0202995851177</v>
      </c>
      <c r="AQ10" s="11" t="n">
        <v>85.63453336669</v>
      </c>
      <c r="AR10" s="11" t="n">
        <v>84.734058187058</v>
      </c>
      <c r="AS10" s="11" t="n">
        <v>84.406543997924</v>
      </c>
      <c r="AT10" s="11" t="n">
        <v>84.2527482939373</v>
      </c>
      <c r="AU10" s="11" t="n">
        <v>84.1118618230554</v>
      </c>
      <c r="AV10" s="11" t="n">
        <v>84.03529493078</v>
      </c>
      <c r="AW10" s="11" t="n">
        <v>83.9850340891551</v>
      </c>
      <c r="AX10" s="11" t="n">
        <v>83.9812992331441</v>
      </c>
      <c r="AY10" s="11" t="n">
        <v>84.4606086314561</v>
      </c>
      <c r="AZ10" s="11" t="n">
        <v>84.5566205020666</v>
      </c>
      <c r="BA10" s="11" t="n">
        <v>84.8146419006339</v>
      </c>
      <c r="BB10" s="11" t="n">
        <v>85.0930571326833</v>
      </c>
      <c r="BC10" s="11" t="n">
        <v>85.4240393569814</v>
      </c>
      <c r="BD10" s="11" t="n">
        <v>85.8518722173346</v>
      </c>
      <c r="BE10" s="11" t="n">
        <v>86.0920050666581</v>
      </c>
      <c r="BF10" s="11" t="n">
        <v>86.26549333473</v>
      </c>
      <c r="BG10" s="11" t="n">
        <v>86.6364934944107</v>
      </c>
      <c r="BH10" s="11" t="n">
        <v>86.6736290623789</v>
      </c>
      <c r="BI10" s="11" t="n">
        <v>86.8155154029346</v>
      </c>
      <c r="BJ10" s="11" t="n">
        <v>87.0978527121789</v>
      </c>
      <c r="BK10" s="11" t="n">
        <v>87.1900263482643</v>
      </c>
      <c r="BL10" s="11" t="n">
        <v>87.1924876739187</v>
      </c>
      <c r="BM10" s="11" t="n">
        <v>87.1880596653307</v>
      </c>
      <c r="BN10" s="11" t="n">
        <v>414.832472303712</v>
      </c>
      <c r="BO10" s="11" t="n">
        <v>423.139745668665</v>
      </c>
      <c r="BP10" s="11" t="n">
        <v>421.018857386602</v>
      </c>
      <c r="BQ10" s="11" t="n">
        <v>427.275615674291</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117.248943919706</v>
      </c>
      <c r="AO11" s="11" t="n">
        <v>115.158560066715</v>
      </c>
      <c r="AP11" s="11" t="n">
        <v>112.466408667533</v>
      </c>
      <c r="AQ11" s="11" t="n">
        <v>108.185326096961</v>
      </c>
      <c r="AR11" s="11" t="n">
        <v>102.96753619047</v>
      </c>
      <c r="AS11" s="11" t="n">
        <v>96.6697739856363</v>
      </c>
      <c r="AT11" s="11" t="n">
        <v>90.8668208106837</v>
      </c>
      <c r="AU11" s="11" t="n">
        <v>85.472492232632</v>
      </c>
      <c r="AV11" s="11" t="n">
        <v>80.7921087349447</v>
      </c>
      <c r="AW11" s="11" t="n">
        <v>76.6016817970222</v>
      </c>
      <c r="AX11" s="11" t="n">
        <v>72.9294349258553</v>
      </c>
      <c r="AY11" s="11" t="n">
        <v>69.5884321252488</v>
      </c>
      <c r="AZ11" s="11" t="n">
        <v>66.585389775756</v>
      </c>
      <c r="BA11" s="11" t="n">
        <v>63.9350390967172</v>
      </c>
      <c r="BB11" s="11" t="n">
        <v>61.6876315625807</v>
      </c>
      <c r="BC11" s="11" t="n">
        <v>59.6448499287241</v>
      </c>
      <c r="BD11" s="11" t="n">
        <v>57.9199674443622</v>
      </c>
      <c r="BE11" s="11" t="n">
        <v>56.3955425886552</v>
      </c>
      <c r="BF11" s="11" t="n">
        <v>55.2004528598698</v>
      </c>
      <c r="BG11" s="11" t="n">
        <v>54.1531436509779</v>
      </c>
      <c r="BH11" s="11" t="n">
        <v>53.2638321801508</v>
      </c>
      <c r="BI11" s="11" t="n">
        <v>52.5792013072155</v>
      </c>
      <c r="BJ11" s="11" t="n">
        <v>51.9872074718073</v>
      </c>
      <c r="BK11" s="11" t="n">
        <v>51.644850557563</v>
      </c>
      <c r="BL11" s="11" t="n">
        <v>51.2990277318909</v>
      </c>
      <c r="BM11" s="11" t="n">
        <v>51.0291514999473</v>
      </c>
      <c r="BN11" s="11" t="n">
        <v>569.157975245056</v>
      </c>
      <c r="BO11" s="11" t="n">
        <v>484.161949316384</v>
      </c>
      <c r="BP11" s="11" t="n">
        <v>366.497047358827</v>
      </c>
      <c r="BQ11" s="11" t="n">
        <v>299.583030621039</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38.722355501135</v>
      </c>
      <c r="AN12" s="11" t="n">
        <v>28.7708459857331</v>
      </c>
      <c r="AO12" s="11" t="n">
        <v>29.9183685951003</v>
      </c>
      <c r="AP12" s="11" t="n">
        <v>25.0860761893421</v>
      </c>
      <c r="AQ12" s="11" t="n">
        <v>23.6932106458582</v>
      </c>
      <c r="AR12" s="11" t="n">
        <v>24.1598397912792</v>
      </c>
      <c r="AS12" s="11" t="n">
        <v>26.4717702297861</v>
      </c>
      <c r="AT12" s="11" t="n">
        <v>27.3917651377835</v>
      </c>
      <c r="AU12" s="11" t="n">
        <v>28.8807314759398</v>
      </c>
      <c r="AV12" s="11" t="n">
        <v>31.0108295803179</v>
      </c>
      <c r="AW12" s="11" t="n">
        <v>33.5134672574057</v>
      </c>
      <c r="AX12" s="11" t="n">
        <v>35.5933621360683</v>
      </c>
      <c r="AY12" s="11" t="n">
        <v>35.3603648672805</v>
      </c>
      <c r="AZ12" s="11" t="n">
        <v>35.4434474221695</v>
      </c>
      <c r="BA12" s="11" t="n">
        <v>35.6753260484175</v>
      </c>
      <c r="BB12" s="11" t="n">
        <v>35.9861994681658</v>
      </c>
      <c r="BC12" s="11" t="n">
        <v>36.1930872463098</v>
      </c>
      <c r="BD12" s="11" t="n">
        <v>37.4010150889347</v>
      </c>
      <c r="BE12" s="11" t="n">
        <v>38.8684750834321</v>
      </c>
      <c r="BF12" s="11" t="n">
        <v>40.0594212868192</v>
      </c>
      <c r="BG12" s="11" t="n">
        <v>41.2527869457462</v>
      </c>
      <c r="BH12" s="11" t="n">
        <v>41.9622304864358</v>
      </c>
      <c r="BI12" s="11" t="n">
        <v>42.7376236156937</v>
      </c>
      <c r="BJ12" s="11" t="n">
        <v>43.5983838495439</v>
      </c>
      <c r="BK12" s="11" t="n">
        <v>45.2736820209933</v>
      </c>
      <c r="BL12" s="11" t="n">
        <v>45.6696339274471</v>
      </c>
      <c r="BM12" s="11" t="n">
        <v>47.0117208580197</v>
      </c>
      <c r="BN12" s="11" t="n">
        <v>166.431143040453</v>
      </c>
      <c r="BO12" s="11" t="n">
        <v>130.597317280647</v>
      </c>
      <c r="BP12" s="11" t="n">
        <v>170.921471263242</v>
      </c>
      <c r="BQ12" s="11" t="n">
        <v>184.12410293526</v>
      </c>
    </row>
    <row r="13" customFormat="false" ht="13.8" hidden="false" customHeight="false" outlineLevel="0" collapsed="false">
      <c r="A13" s="11" t="s">
        <v>137</v>
      </c>
      <c r="B13" s="11" t="s">
        <v>148</v>
      </c>
      <c r="C13" s="11" t="s">
        <v>139</v>
      </c>
      <c r="D13" s="12"/>
      <c r="E13" s="11" t="n">
        <v>77.1921705075374</v>
      </c>
      <c r="F13" s="11" t="n">
        <v>78.080806528045</v>
      </c>
      <c r="G13" s="11" t="n">
        <v>79.240786095642</v>
      </c>
      <c r="H13" s="11" t="n">
        <v>78.9274931034911</v>
      </c>
      <c r="I13" s="11" t="n">
        <v>71.4488522684982</v>
      </c>
      <c r="J13" s="11" t="n">
        <v>74.8462179844523</v>
      </c>
      <c r="K13" s="11" t="n">
        <v>74.6165741832361</v>
      </c>
      <c r="L13" s="11" t="n">
        <v>72.7018598920015</v>
      </c>
      <c r="M13" s="11" t="n">
        <v>71.0438362400115</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30.3419396397281</v>
      </c>
      <c r="AO13" s="11" t="n">
        <v>29.3541943028271</v>
      </c>
      <c r="AP13" s="11" t="n">
        <v>28.6543870633133</v>
      </c>
      <c r="AQ13" s="11" t="n">
        <v>27.6956435456652</v>
      </c>
      <c r="AR13" s="11" t="n">
        <v>26.7657393965204</v>
      </c>
      <c r="AS13" s="11" t="n">
        <v>25.3950535390675</v>
      </c>
      <c r="AT13" s="11" t="n">
        <v>23.9993546031975</v>
      </c>
      <c r="AU13" s="11" t="n">
        <v>23.1435502696261</v>
      </c>
      <c r="AV13" s="11" t="n">
        <v>22.0450183589233</v>
      </c>
      <c r="AW13" s="11" t="n">
        <v>21.6026951708287</v>
      </c>
      <c r="AX13" s="11" t="n">
        <v>21.1662560036948</v>
      </c>
      <c r="AY13" s="11" t="n">
        <v>19.1611076530628</v>
      </c>
      <c r="AZ13" s="11" t="n">
        <v>18.6438246811985</v>
      </c>
      <c r="BA13" s="11" t="n">
        <v>18.1065721205391</v>
      </c>
      <c r="BB13" s="11" t="n">
        <v>17.3103675403054</v>
      </c>
      <c r="BC13" s="11" t="n">
        <v>16.9578419741223</v>
      </c>
      <c r="BD13" s="11" t="n">
        <v>15.6757177840025</v>
      </c>
      <c r="BE13" s="11" t="n">
        <v>14.8634826966894</v>
      </c>
      <c r="BF13" s="11" t="n">
        <v>14.5437817169899</v>
      </c>
      <c r="BG13" s="11" t="n">
        <v>14.4694744217368</v>
      </c>
      <c r="BH13" s="11" t="n">
        <v>14.3849861743273</v>
      </c>
      <c r="BI13" s="11" t="n">
        <v>14.3308165370194</v>
      </c>
      <c r="BJ13" s="11" t="n">
        <v>14.2525478352478</v>
      </c>
      <c r="BK13" s="11" t="n">
        <v>13.966528642132</v>
      </c>
      <c r="BL13" s="11" t="n">
        <v>13.5557561674888</v>
      </c>
      <c r="BM13" s="11" t="n">
        <v>13.3734513502369</v>
      </c>
      <c r="BN13" s="11" t="n">
        <v>149.325732726551</v>
      </c>
      <c r="BO13" s="11" t="n">
        <v>126.999341354077</v>
      </c>
      <c r="BP13" s="11" t="n">
        <v>102.618901867708</v>
      </c>
      <c r="BQ13" s="11" t="n">
        <v>82.9139821156587</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43.1402128896883</v>
      </c>
      <c r="AO14" s="11" t="n">
        <v>43.1940472169717</v>
      </c>
      <c r="AP14" s="11" t="n">
        <v>43.2363065820922</v>
      </c>
      <c r="AQ14" s="11" t="n">
        <v>42.2709164386031</v>
      </c>
      <c r="AR14" s="11" t="n">
        <v>42.5434891302543</v>
      </c>
      <c r="AS14" s="11" t="n">
        <v>41.5059989350451</v>
      </c>
      <c r="AT14" s="11" t="n">
        <v>41.4250921794962</v>
      </c>
      <c r="AU14" s="11" t="n">
        <v>41.0573135803191</v>
      </c>
      <c r="AV14" s="11" t="n">
        <v>40.3343417781934</v>
      </c>
      <c r="AW14" s="11" t="n">
        <v>39.7979693236003</v>
      </c>
      <c r="AX14" s="11" t="n">
        <v>39.588186794336</v>
      </c>
      <c r="AY14" s="11" t="n">
        <v>38.9662199330678</v>
      </c>
      <c r="AZ14" s="11" t="n">
        <v>38.1767336060911</v>
      </c>
      <c r="BA14" s="11" t="n">
        <v>38.0000345305752</v>
      </c>
      <c r="BB14" s="11" t="n">
        <v>38.0312872931801</v>
      </c>
      <c r="BC14" s="11" t="n">
        <v>37.7420771242668</v>
      </c>
      <c r="BD14" s="11" t="n">
        <v>38.2142986658243</v>
      </c>
      <c r="BE14" s="11" t="n">
        <v>38.7407063234431</v>
      </c>
      <c r="BF14" s="11" t="n">
        <v>38.6472729826362</v>
      </c>
      <c r="BG14" s="11" t="n">
        <v>38.3165552190393</v>
      </c>
      <c r="BH14" s="11" t="n">
        <v>37.8210359734901</v>
      </c>
      <c r="BI14" s="11" t="n">
        <v>37.2973088660182</v>
      </c>
      <c r="BJ14" s="11" t="n">
        <v>36.5453819974142</v>
      </c>
      <c r="BK14" s="11" t="n">
        <v>36.7309064864111</v>
      </c>
      <c r="BL14" s="11" t="n">
        <v>35.5528453974372</v>
      </c>
      <c r="BM14" s="11" t="n">
        <v>34.9608183140601</v>
      </c>
      <c r="BN14" s="11" t="n">
        <v>211.376498692135</v>
      </c>
      <c r="BO14" s="11" t="n">
        <v>208.802810263718</v>
      </c>
      <c r="BP14" s="11" t="n">
        <v>196.863451435289</v>
      </c>
      <c r="BQ14" s="11" t="n">
        <v>190.728403937289</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43.264905241902</v>
      </c>
      <c r="AN15" s="11" t="n">
        <v>40.9490346608589</v>
      </c>
      <c r="AO15" s="11" t="n">
        <v>40.2526084901605</v>
      </c>
      <c r="AP15" s="11" t="n">
        <v>40.1853886999346</v>
      </c>
      <c r="AQ15" s="11" t="n">
        <v>40.1480570181269</v>
      </c>
      <c r="AR15" s="11" t="n">
        <v>40.1045336974386</v>
      </c>
      <c r="AS15" s="11" t="n">
        <v>40.1882319719742</v>
      </c>
      <c r="AT15" s="11" t="n">
        <v>40.1875249196342</v>
      </c>
      <c r="AU15" s="11" t="n">
        <v>40.3805000114526</v>
      </c>
      <c r="AV15" s="11" t="n">
        <v>40.5911511188944</v>
      </c>
      <c r="AW15" s="11" t="n">
        <v>40.5173587624929</v>
      </c>
      <c r="AX15" s="11" t="n">
        <v>40.6378604984064</v>
      </c>
      <c r="AY15" s="11" t="n">
        <v>40.7328870620073</v>
      </c>
      <c r="AZ15" s="11" t="n">
        <v>41.0972408710486</v>
      </c>
      <c r="BA15" s="11" t="n">
        <v>41.3097064158479</v>
      </c>
      <c r="BB15" s="11" t="n">
        <v>41.6005393801888</v>
      </c>
      <c r="BC15" s="11" t="n">
        <v>42.2562117818964</v>
      </c>
      <c r="BD15" s="11" t="n">
        <v>43.1650924678927</v>
      </c>
      <c r="BE15" s="11" t="n">
        <v>43.5869834265633</v>
      </c>
      <c r="BF15" s="11" t="n">
        <v>43.9965758868752</v>
      </c>
      <c r="BG15" s="11" t="n">
        <v>44.4153646012909</v>
      </c>
      <c r="BH15" s="11" t="n">
        <v>44.8870981313284</v>
      </c>
      <c r="BI15" s="11" t="n">
        <v>45.535023760001</v>
      </c>
      <c r="BJ15" s="11" t="n">
        <v>46.0629069915649</v>
      </c>
      <c r="BK15" s="11" t="n">
        <v>46.5746535371989</v>
      </c>
      <c r="BL15" s="11" t="n">
        <v>47.0625274499689</v>
      </c>
      <c r="BM15" s="11" t="n">
        <v>47.6004297904545</v>
      </c>
      <c r="BN15" s="11" t="n">
        <v>217.70301773434</v>
      </c>
      <c r="BO15" s="11" t="n">
        <v>201.008847618626</v>
      </c>
      <c r="BP15" s="11" t="n">
        <v>203.57649831285</v>
      </c>
      <c r="BQ15" s="11" t="n">
        <v>211.918533472389</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7.29888881565863</v>
      </c>
      <c r="L16" s="11" t="n">
        <v>6.74965008724044</v>
      </c>
      <c r="M16" s="11" t="n">
        <v>5.96165299469253</v>
      </c>
      <c r="N16" s="11" t="n">
        <v>6.07622611866308</v>
      </c>
      <c r="O16" s="11" t="n">
        <v>5.8165000617974</v>
      </c>
      <c r="P16" s="11" t="n">
        <v>5.17351914195232</v>
      </c>
      <c r="Q16" s="11" t="n">
        <v>4.3457864800215</v>
      </c>
      <c r="R16" s="11" t="n">
        <v>4.18559867581597</v>
      </c>
      <c r="S16" s="11" t="n">
        <v>3.32599036920681</v>
      </c>
      <c r="T16" s="11" t="n">
        <v>2.9562338693275</v>
      </c>
      <c r="U16" s="11" t="n">
        <v>2.53705519258907</v>
      </c>
      <c r="V16" s="11" t="n">
        <v>1.91003713291075</v>
      </c>
      <c r="W16" s="11" t="n">
        <v>1.22774903416888</v>
      </c>
      <c r="X16" s="11" t="n">
        <v>1.13558384043056</v>
      </c>
      <c r="Y16" s="11" t="n">
        <v>1.05006812917393</v>
      </c>
      <c r="Z16" s="11" t="n">
        <v>0.403891460082564</v>
      </c>
      <c r="AA16" s="11" t="n">
        <v>0.505346373580899</v>
      </c>
      <c r="AB16" s="11" t="n">
        <v>0.398968456201681</v>
      </c>
      <c r="AC16" s="11" t="n">
        <v>0.0720308545919073</v>
      </c>
      <c r="AD16" s="11" t="n">
        <v>-0.0617161466723142</v>
      </c>
      <c r="AE16" s="11" t="n">
        <v>0.295045210907603</v>
      </c>
      <c r="AF16" s="11" t="n">
        <v>0.0212098248235195</v>
      </c>
      <c r="AG16" s="11" t="n">
        <v>0.684754591408554</v>
      </c>
      <c r="AH16" s="11" t="n">
        <v>0.551649018647838</v>
      </c>
      <c r="AI16" s="11" t="n">
        <v>0.401275637288966</v>
      </c>
      <c r="AJ16" s="11" t="n">
        <v>0.235021339974388</v>
      </c>
      <c r="AK16" s="11" t="n">
        <v>0.541752124764709</v>
      </c>
      <c r="AL16" s="11" t="n">
        <v>1.11971398879782</v>
      </c>
      <c r="AM16" s="11" t="n">
        <v>0.772473937745446</v>
      </c>
      <c r="AN16" s="11" t="n">
        <v>0.85338772111931</v>
      </c>
      <c r="AO16" s="11" t="n">
        <v>0.941803891439629</v>
      </c>
      <c r="AP16" s="11" t="n">
        <v>1.05249354242531</v>
      </c>
      <c r="AQ16" s="11" t="n">
        <v>1.03922145167634</v>
      </c>
      <c r="AR16" s="11" t="n">
        <v>1.18494290131125</v>
      </c>
      <c r="AS16" s="11" t="n">
        <v>1.33687784699157</v>
      </c>
      <c r="AT16" s="11" t="n">
        <v>1.59385231293396</v>
      </c>
      <c r="AU16" s="11" t="n">
        <v>1.8600063221481</v>
      </c>
      <c r="AV16" s="11" t="n">
        <v>2.18002045240814</v>
      </c>
      <c r="AW16" s="11" t="n">
        <v>2.52245540334349</v>
      </c>
      <c r="AX16" s="11" t="n">
        <v>2.86269668185091</v>
      </c>
      <c r="AY16" s="11" t="n">
        <v>3.1910595289671</v>
      </c>
      <c r="AZ16" s="11" t="n">
        <v>3.48110002502241</v>
      </c>
      <c r="BA16" s="11" t="n">
        <v>3.70278702304934</v>
      </c>
      <c r="BB16" s="11" t="n">
        <v>3.92197933803403</v>
      </c>
      <c r="BC16" s="11" t="n">
        <v>4.10534913163693</v>
      </c>
      <c r="BD16" s="11" t="n">
        <v>4.29487024454034</v>
      </c>
      <c r="BE16" s="11" t="n">
        <v>4.41276908506391</v>
      </c>
      <c r="BF16" s="11" t="n">
        <v>4.48241621455591</v>
      </c>
      <c r="BG16" s="11" t="n">
        <v>4.51963787513381</v>
      </c>
      <c r="BH16" s="11" t="n">
        <v>4.51963829708352</v>
      </c>
      <c r="BI16" s="11" t="n">
        <v>4.54417530675067</v>
      </c>
      <c r="BJ16" s="11" t="n">
        <v>4.5413256061281</v>
      </c>
      <c r="BK16" s="11" t="n">
        <v>4.4904485985796</v>
      </c>
      <c r="BL16" s="11" t="n">
        <v>4.432307529618</v>
      </c>
      <c r="BM16" s="11" t="n">
        <v>4.35862189668962</v>
      </c>
      <c r="BN16" s="11" t="n">
        <v>4.73987308152751</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70.2851382107242</v>
      </c>
      <c r="F17" s="11" t="n">
        <v>71.151851599193</v>
      </c>
      <c r="G17" s="11" t="n">
        <v>71.3100141105853</v>
      </c>
      <c r="H17" s="11" t="n">
        <v>71.9864210312014</v>
      </c>
      <c r="I17" s="11" t="n">
        <v>72.4678954520795</v>
      </c>
      <c r="J17" s="11" t="n">
        <v>73.1884732530741</v>
      </c>
      <c r="K17" s="11" t="n">
        <v>73.837094103762</v>
      </c>
      <c r="L17" s="11" t="n">
        <v>73.4280783971221</v>
      </c>
      <c r="M17" s="11" t="n">
        <v>73.0234035710687</v>
      </c>
      <c r="N17" s="11" t="n">
        <v>70.5019423640304</v>
      </c>
      <c r="O17" s="11" t="n">
        <v>67.7097679254949</v>
      </c>
      <c r="P17" s="11" t="n">
        <v>65.3994841446134</v>
      </c>
      <c r="Q17" s="11" t="n">
        <v>64.9403304902157</v>
      </c>
      <c r="R17" s="11" t="n">
        <v>61.4927753474448</v>
      </c>
      <c r="S17" s="11" t="n">
        <v>56.830230673088</v>
      </c>
      <c r="T17" s="11" t="n">
        <v>54.5724508834385</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23.2815089852245</v>
      </c>
      <c r="AG17" s="11" t="n">
        <v>23.1253245940442</v>
      </c>
      <c r="AH17" s="11" t="n">
        <v>22.6426622638462</v>
      </c>
      <c r="AI17" s="11" t="n">
        <v>21.1336177423037</v>
      </c>
      <c r="AJ17" s="11" t="n">
        <v>20.070118805901</v>
      </c>
      <c r="AK17" s="11" t="n">
        <v>19.9737418305989</v>
      </c>
      <c r="AL17" s="11" t="n">
        <v>19.8666312812048</v>
      </c>
      <c r="AM17" s="11" t="n">
        <v>19.0389138671954</v>
      </c>
      <c r="AN17" s="11" t="n">
        <v>18.6720516619882</v>
      </c>
      <c r="AO17" s="11" t="n">
        <v>18.2554886202007</v>
      </c>
      <c r="AP17" s="11" t="n">
        <v>18.567895163075</v>
      </c>
      <c r="AQ17" s="11" t="n">
        <v>17.5966501636035</v>
      </c>
      <c r="AR17" s="11" t="n">
        <v>16.7425537234689</v>
      </c>
      <c r="AS17" s="11" t="n">
        <v>15.9382259401972</v>
      </c>
      <c r="AT17" s="11" t="n">
        <v>15.2275184180952</v>
      </c>
      <c r="AU17" s="11" t="n">
        <v>14.6004148871288</v>
      </c>
      <c r="AV17" s="11" t="n">
        <v>14.048664442749</v>
      </c>
      <c r="AW17" s="11" t="n">
        <v>13.5668920883837</v>
      </c>
      <c r="AX17" s="11" t="n">
        <v>13.1473344474649</v>
      </c>
      <c r="AY17" s="11" t="n">
        <v>12.7820473750998</v>
      </c>
      <c r="AZ17" s="11" t="n">
        <v>12.4632483975166</v>
      </c>
      <c r="BA17" s="11" t="n">
        <v>12.1868367778312</v>
      </c>
      <c r="BB17" s="11" t="n">
        <v>11.9490548829467</v>
      </c>
      <c r="BC17" s="11" t="n">
        <v>11.7468389629804</v>
      </c>
      <c r="BD17" s="11" t="n">
        <v>11.6333884809098</v>
      </c>
      <c r="BE17" s="11" t="n">
        <v>11.5494610935101</v>
      </c>
      <c r="BF17" s="11" t="n">
        <v>11.4926011563282</v>
      </c>
      <c r="BG17" s="11" t="n">
        <v>11.460575465964</v>
      </c>
      <c r="BH17" s="11" t="n">
        <v>11.4521137642813</v>
      </c>
      <c r="BI17" s="11" t="n">
        <v>11.4639103903603</v>
      </c>
      <c r="BJ17" s="11" t="n">
        <v>11.4941094018036</v>
      </c>
      <c r="BK17" s="11" t="n">
        <v>11.5411882308021</v>
      </c>
      <c r="BL17" s="11" t="n">
        <v>11.6039467491324</v>
      </c>
      <c r="BM17" s="11" t="n">
        <v>11.6812776690764</v>
      </c>
      <c r="BN17" s="11" t="n">
        <v>94.4009805936641</v>
      </c>
      <c r="BO17" s="11" t="n">
        <v>80.1053631324936</v>
      </c>
      <c r="BP17" s="11" t="n">
        <v>66.0081867512141</v>
      </c>
      <c r="BQ17" s="11" t="n">
        <v>59.0655801981782</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291.257867282488</v>
      </c>
      <c r="AN18" s="11" t="n">
        <v>287.094275492413</v>
      </c>
      <c r="AO18" s="11" t="n">
        <v>285.468043637735</v>
      </c>
      <c r="AP18" s="11" t="n">
        <v>278.862102258021</v>
      </c>
      <c r="AQ18" s="11" t="n">
        <v>272.409397894717</v>
      </c>
      <c r="AR18" s="11" t="n">
        <v>266.302420845391</v>
      </c>
      <c r="AS18" s="11" t="n">
        <v>261.230959941851</v>
      </c>
      <c r="AT18" s="11" t="n">
        <v>255.402156199545</v>
      </c>
      <c r="AU18" s="11" t="n">
        <v>251.395739493334</v>
      </c>
      <c r="AV18" s="11" t="n">
        <v>248.528988253174</v>
      </c>
      <c r="AW18" s="11" t="n">
        <v>246.855490524129</v>
      </c>
      <c r="AX18" s="11" t="n">
        <v>245.587621979944</v>
      </c>
      <c r="AY18" s="11" t="n">
        <v>241.210250791248</v>
      </c>
      <c r="AZ18" s="11" t="n">
        <v>238.868481640312</v>
      </c>
      <c r="BA18" s="11" t="n">
        <v>236.741492302985</v>
      </c>
      <c r="BB18" s="11" t="n">
        <v>234.933216052501</v>
      </c>
      <c r="BC18" s="11" t="n">
        <v>233.980748990894</v>
      </c>
      <c r="BD18" s="11" t="n">
        <v>233.861240269517</v>
      </c>
      <c r="BE18" s="11" t="n">
        <v>233.859262716852</v>
      </c>
      <c r="BF18" s="11" t="n">
        <v>234.184325860172</v>
      </c>
      <c r="BG18" s="11" t="n">
        <v>235.086601283082</v>
      </c>
      <c r="BH18" s="11" t="n">
        <v>235.323743536971</v>
      </c>
      <c r="BI18" s="11" t="n">
        <v>236.162008024819</v>
      </c>
      <c r="BJ18" s="11" t="n">
        <v>237.158390541052</v>
      </c>
      <c r="BK18" s="11" t="n">
        <v>238.750754595984</v>
      </c>
      <c r="BL18" s="11" t="n">
        <v>238.804788694472</v>
      </c>
      <c r="BM18" s="11" t="n">
        <v>240.127199175887</v>
      </c>
      <c r="BN18" s="11" t="n">
        <v>1445.50103466975</v>
      </c>
      <c r="BO18" s="11" t="n">
        <v>1306.74067437484</v>
      </c>
      <c r="BP18" s="11" t="n">
        <v>1221.05083318881</v>
      </c>
      <c r="BQ18" s="11" t="n">
        <v>1173.37596033275</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111.847053547748</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66.6756343230592</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v>
      </c>
      <c r="AM19" s="11" t="n">
        <v>55.5125083077318</v>
      </c>
      <c r="AN19" s="11" t="n">
        <v>54.6851392068408</v>
      </c>
      <c r="AO19" s="11" t="n">
        <v>54.0116660177144</v>
      </c>
      <c r="AP19" s="11" t="n">
        <v>54.1454515816636</v>
      </c>
      <c r="AQ19" s="11" t="n">
        <v>52.9265664732508</v>
      </c>
      <c r="AR19" s="11" t="n">
        <v>51.9223402150595</v>
      </c>
      <c r="AS19" s="11" t="n">
        <v>50.9163660277334</v>
      </c>
      <c r="AT19" s="11" t="n">
        <v>49.9737754765496</v>
      </c>
      <c r="AU19" s="11" t="n">
        <v>49.0384419216655</v>
      </c>
      <c r="AV19" s="11" t="n">
        <v>48.1877612302518</v>
      </c>
      <c r="AW19" s="11" t="n">
        <v>47.4531971537269</v>
      </c>
      <c r="AX19" s="11" t="n">
        <v>46.7283630639117</v>
      </c>
      <c r="AY19" s="11" t="n">
        <v>46.007187945774</v>
      </c>
      <c r="AZ19" s="11" t="n">
        <v>45.320673038272</v>
      </c>
      <c r="BA19" s="11" t="n">
        <v>44.7341369502115</v>
      </c>
      <c r="BB19" s="11" t="n">
        <v>44.1546973186795</v>
      </c>
      <c r="BC19" s="11" t="n">
        <v>43.6336554539277</v>
      </c>
      <c r="BD19" s="11" t="n">
        <v>43.1238684422874</v>
      </c>
      <c r="BE19" s="11" t="n">
        <v>42.6575799590029</v>
      </c>
      <c r="BF19" s="11" t="n">
        <v>42.2535558939868</v>
      </c>
      <c r="BG19" s="11" t="n">
        <v>41.8671467232801</v>
      </c>
      <c r="BH19" s="11" t="n">
        <v>41.4970609774388</v>
      </c>
      <c r="BI19" s="11" t="n">
        <v>41.1438396688086</v>
      </c>
      <c r="BJ19" s="11" t="n">
        <v>40.8018005834732</v>
      </c>
      <c r="BK19" s="11" t="n">
        <v>40.4808424279149</v>
      </c>
      <c r="BL19" s="11" t="n">
        <v>40.1842268140355</v>
      </c>
      <c r="BM19" s="11" t="n">
        <v>39.9093171436848</v>
      </c>
      <c r="BN19" s="11" t="n">
        <v>275.370223084619</v>
      </c>
      <c r="BO19" s="11" t="n">
        <v>254.777490114259</v>
      </c>
      <c r="BP19" s="11" t="n">
        <v>233.697182431936</v>
      </c>
      <c r="BQ19" s="11" t="n">
        <v>218.303938124109</v>
      </c>
    </row>
    <row r="20" customFormat="false" ht="13.8" hidden="false" customHeight="false" outlineLevel="0" collapsed="false">
      <c r="A20" s="11" t="s">
        <v>155</v>
      </c>
      <c r="B20" s="11" t="s">
        <v>138</v>
      </c>
      <c r="C20" s="11" t="s">
        <v>139</v>
      </c>
      <c r="D20" s="12"/>
      <c r="E20" s="11" t="n">
        <v>44.0704550397255</v>
      </c>
      <c r="F20" s="11" t="n">
        <v>44.1797412823124</v>
      </c>
      <c r="G20" s="11" t="n">
        <v>39.6961971076383</v>
      </c>
      <c r="H20" s="11" t="n">
        <v>35.8885563050247</v>
      </c>
      <c r="I20" s="11" t="n">
        <v>36.4843849417418</v>
      </c>
      <c r="J20" s="11" t="n">
        <v>35.2609430810058</v>
      </c>
      <c r="K20" s="11" t="n">
        <v>35.2373807644579</v>
      </c>
      <c r="L20" s="11" t="n">
        <v>35.4827508380865</v>
      </c>
      <c r="M20" s="11" t="n">
        <v>35.5123899483833</v>
      </c>
      <c r="N20" s="11" t="n">
        <v>26.9725209280125</v>
      </c>
      <c r="O20" s="11" t="n">
        <v>26.4401263932034</v>
      </c>
      <c r="P20" s="11" t="n">
        <v>25.1975850754958</v>
      </c>
      <c r="Q20" s="11" t="n">
        <v>23.6909797075244</v>
      </c>
      <c r="R20" s="11" t="n">
        <v>23.3321043111328</v>
      </c>
      <c r="S20" s="11" t="n">
        <v>23.8193639895213</v>
      </c>
      <c r="T20" s="11" t="n">
        <v>22.8993495466567</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20.1970291565975</v>
      </c>
      <c r="AD20" s="11" t="n">
        <v>20.0764785825238</v>
      </c>
      <c r="AE20" s="11" t="n">
        <v>19.6185628297959</v>
      </c>
      <c r="AF20" s="11" t="n">
        <v>19.8843934118169</v>
      </c>
      <c r="AG20" s="11" t="n">
        <v>19.761921421575</v>
      </c>
      <c r="AH20" s="11" t="n">
        <v>19.8144066150671</v>
      </c>
      <c r="AI20" s="11" t="n">
        <v>18.779891993834</v>
      </c>
      <c r="AJ20" s="11" t="n">
        <v>19.1537538803101</v>
      </c>
      <c r="AK20" s="11" t="n">
        <v>18.2676513371754</v>
      </c>
      <c r="AL20" s="11" t="n">
        <v>18.0936851388269</v>
      </c>
      <c r="AM20" s="11" t="n">
        <v>18.376947460324</v>
      </c>
      <c r="AN20" s="11" t="n">
        <v>18.3576698650036</v>
      </c>
      <c r="AO20" s="11" t="n">
        <v>18.3407780326197</v>
      </c>
      <c r="AP20" s="11" t="n">
        <v>18.2938285666451</v>
      </c>
      <c r="AQ20" s="11" t="n">
        <v>18.1626794031522</v>
      </c>
      <c r="AR20" s="11" t="n">
        <v>18.1357608981953</v>
      </c>
      <c r="AS20" s="11" t="n">
        <v>18.0831544126121</v>
      </c>
      <c r="AT20" s="11" t="n">
        <v>18.0049973410137</v>
      </c>
      <c r="AU20" s="11" t="n">
        <v>17.8671604895043</v>
      </c>
      <c r="AV20" s="11" t="n">
        <v>17.7816121428684</v>
      </c>
      <c r="AW20" s="11" t="n">
        <v>17.7101267228936</v>
      </c>
      <c r="AX20" s="11" t="n">
        <v>17.6063758709724</v>
      </c>
      <c r="AY20" s="11" t="n">
        <v>17.5027677986758</v>
      </c>
      <c r="AZ20" s="11" t="n">
        <v>17.3211802397056</v>
      </c>
      <c r="BA20" s="11" t="n">
        <v>17.2449673867979</v>
      </c>
      <c r="BB20" s="11" t="n">
        <v>17.1461119144797</v>
      </c>
      <c r="BC20" s="11" t="n">
        <v>17.0748165131754</v>
      </c>
      <c r="BD20" s="11" t="n">
        <v>17.0017135990965</v>
      </c>
      <c r="BE20" s="11" t="n">
        <v>16.9392118145236</v>
      </c>
      <c r="BF20" s="11" t="n">
        <v>16.8876175737906</v>
      </c>
      <c r="BG20" s="11" t="n">
        <v>16.8357721134584</v>
      </c>
      <c r="BH20" s="11" t="n">
        <v>16.7834870302252</v>
      </c>
      <c r="BI20" s="11" t="n">
        <v>16.7362357071945</v>
      </c>
      <c r="BJ20" s="11" t="n">
        <v>16.6878499907224</v>
      </c>
      <c r="BK20" s="11" t="n">
        <v>16.6367904369111</v>
      </c>
      <c r="BL20" s="11" t="n">
        <v>16.5884178458191</v>
      </c>
      <c r="BM20" s="11" t="n">
        <v>16.5419257793226</v>
      </c>
      <c r="BN20" s="11" t="n">
        <v>91.4629090634194</v>
      </c>
      <c r="BO20" s="11" t="n">
        <v>90.2537525444777</v>
      </c>
      <c r="BP20" s="11" t="n">
        <v>87.9220627751158</v>
      </c>
      <c r="BQ20" s="11" t="n">
        <v>85.4068212280731</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10.4979550302191</v>
      </c>
      <c r="Z21" s="11" t="n">
        <v>11.0654107151362</v>
      </c>
      <c r="AA21" s="11" t="n">
        <v>11.5161328830887</v>
      </c>
      <c r="AB21" s="11" t="n">
        <v>11.6114703501195</v>
      </c>
      <c r="AC21" s="11" t="n">
        <v>11.1356108294494</v>
      </c>
      <c r="AD21" s="11" t="n">
        <v>10.9498065093755</v>
      </c>
      <c r="AE21" s="11" t="n">
        <v>10.6141423946229</v>
      </c>
      <c r="AF21" s="11" t="n">
        <v>10.121289044966</v>
      </c>
      <c r="AG21" s="11" t="n">
        <v>9.66952181906882</v>
      </c>
      <c r="AH21" s="11" t="n">
        <v>8.98580877911218</v>
      </c>
      <c r="AI21" s="11" t="n">
        <v>8.15976812106435</v>
      </c>
      <c r="AJ21" s="11" t="n">
        <v>7.58436627904264</v>
      </c>
      <c r="AK21" s="11" t="n">
        <v>7.06898863688572</v>
      </c>
      <c r="AL21" s="11" t="n">
        <v>6.59748890429982</v>
      </c>
      <c r="AM21" s="11" t="n">
        <v>6.14657126839515</v>
      </c>
      <c r="AN21" s="11" t="n">
        <v>5.78995641676736</v>
      </c>
      <c r="AO21" s="11" t="n">
        <v>5.45582110094932</v>
      </c>
      <c r="AP21" s="11" t="n">
        <v>5.13969410232909</v>
      </c>
      <c r="AQ21" s="11" t="n">
        <v>4.83421727365179</v>
      </c>
      <c r="AR21" s="11" t="n">
        <v>4.55598570157372</v>
      </c>
      <c r="AS21" s="11" t="n">
        <v>4.31470265813777</v>
      </c>
      <c r="AT21" s="11" t="n">
        <v>4.09884472060176</v>
      </c>
      <c r="AU21" s="11" t="n">
        <v>3.89091088317771</v>
      </c>
      <c r="AV21" s="11" t="n">
        <v>3.70734813175857</v>
      </c>
      <c r="AW21" s="11" t="n">
        <v>3.53638632023551</v>
      </c>
      <c r="AX21" s="11" t="n">
        <v>3.38044042697567</v>
      </c>
      <c r="AY21" s="11" t="n">
        <v>3.24624656805012</v>
      </c>
      <c r="AZ21" s="11" t="n">
        <v>3.14013667374679</v>
      </c>
      <c r="BA21" s="11" t="n">
        <v>3.06190005083168</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1.48366130882975</v>
      </c>
      <c r="F22" s="11" t="n">
        <v>1.24305334298279</v>
      </c>
      <c r="G22" s="11" t="n">
        <v>0.617640551647897</v>
      </c>
      <c r="H22" s="11" t="n">
        <v>0.538700846476154</v>
      </c>
      <c r="I22" s="11" t="n">
        <v>0.546409279966551</v>
      </c>
      <c r="J22" s="11" t="n">
        <v>0.533270281772292</v>
      </c>
      <c r="K22" s="11" t="n">
        <v>0.531928867885412</v>
      </c>
      <c r="L22" s="11" t="n">
        <v>0.44692564402011</v>
      </c>
      <c r="M22" s="11" t="n">
        <v>0.43528910732139</v>
      </c>
      <c r="N22" s="11" t="n">
        <v>0.412312802276656</v>
      </c>
      <c r="O22" s="11" t="n">
        <v>0.51862161306472</v>
      </c>
      <c r="P22" s="11" t="n">
        <v>0.432138729457178</v>
      </c>
      <c r="Q22" s="11" t="n">
        <v>0.364067786446408</v>
      </c>
      <c r="R22" s="11" t="n">
        <v>0.318513971049458</v>
      </c>
      <c r="S22" s="11" t="n">
        <v>0.402942811428176</v>
      </c>
      <c r="T22" s="11" t="n">
        <v>0.368307653921605</v>
      </c>
      <c r="U22" s="11" t="n">
        <v>0.369821205860997</v>
      </c>
      <c r="V22" s="11" t="n">
        <v>0.277694286963564</v>
      </c>
      <c r="W22" s="11" t="n">
        <v>0.255311612882481</v>
      </c>
      <c r="X22" s="11" t="n">
        <v>0.195240026958578</v>
      </c>
      <c r="Y22" s="11" t="n">
        <v>0.281496039558142</v>
      </c>
      <c r="Z22" s="11" t="n">
        <v>0.399303588048535</v>
      </c>
      <c r="AA22" s="11" t="n">
        <v>0.243138181819986</v>
      </c>
      <c r="AB22" s="11" t="n">
        <v>0.294217429839836</v>
      </c>
      <c r="AC22" s="11" t="n">
        <v>0.23782779605641</v>
      </c>
      <c r="AD22" s="11" t="n">
        <v>0.274427975434271</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0.145322964863699</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0.788373788456026</v>
      </c>
      <c r="BP22" s="11" t="n">
        <v>0.788373788456026</v>
      </c>
      <c r="BQ22" s="11" t="n">
        <v>0.788373788456026</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0.426418736992623</v>
      </c>
      <c r="AE23" s="11" t="n">
        <v>0.458386532676318</v>
      </c>
      <c r="AF23" s="11" t="n">
        <v>0.460093295564997</v>
      </c>
      <c r="AG23" s="11" t="n">
        <v>0.565037427403676</v>
      </c>
      <c r="AH23" s="11" t="n">
        <v>0.49719676355469</v>
      </c>
      <c r="AI23" s="11" t="n">
        <v>0.425406162786779</v>
      </c>
      <c r="AJ23" s="11" t="n">
        <v>0.38749956929647</v>
      </c>
      <c r="AK23" s="11" t="n">
        <v>0.333442729385777</v>
      </c>
      <c r="AL23" s="11" t="n">
        <v>0.301791676439176</v>
      </c>
      <c r="AM23" s="11" t="n">
        <v>0.307854862676676</v>
      </c>
      <c r="AN23" s="11" t="n">
        <v>0.314290204270113</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0.372815184884234</v>
      </c>
      <c r="AW23" s="11" t="n">
        <v>0.380977508595361</v>
      </c>
      <c r="AX23" s="11" t="n">
        <v>0.389343890399265</v>
      </c>
      <c r="AY23" s="11" t="n">
        <v>0.389343890399265</v>
      </c>
      <c r="AZ23" s="11" t="n">
        <v>0.389343890399265</v>
      </c>
      <c r="BA23" s="11" t="n">
        <v>0.389343890399265</v>
      </c>
      <c r="BB23" s="11" t="n">
        <v>0.389343890399265</v>
      </c>
      <c r="BC23" s="11" t="n">
        <v>0.389343890399265</v>
      </c>
      <c r="BD23" s="11" t="n">
        <v>0.389343890399265</v>
      </c>
      <c r="BE23" s="11" t="n">
        <v>0.389343890399265</v>
      </c>
      <c r="BF23" s="11" t="n">
        <v>0.389343890399265</v>
      </c>
      <c r="BG23" s="11" t="n">
        <v>0.389343890399265</v>
      </c>
      <c r="BH23" s="11" t="n">
        <v>0.389343890399265</v>
      </c>
      <c r="BI23" s="11" t="n">
        <v>0.389343890399265</v>
      </c>
      <c r="BJ23" s="11" t="n">
        <v>0.389343890399265</v>
      </c>
      <c r="BK23" s="11" t="n">
        <v>0.389343890399265</v>
      </c>
      <c r="BL23" s="11" t="n">
        <v>0.389343890399265</v>
      </c>
      <c r="BM23" s="11" t="n">
        <v>0.389343890399265</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333.205764375449</v>
      </c>
      <c r="AN25" s="11" t="n">
        <v>329.845039046507</v>
      </c>
      <c r="AO25" s="11" t="n">
        <v>328.272445930142</v>
      </c>
      <c r="AP25" s="11" t="n">
        <v>321.708725159785</v>
      </c>
      <c r="AQ25" s="11" t="n">
        <v>314.299121881258</v>
      </c>
      <c r="AR25" s="11" t="n">
        <v>308.462657449374</v>
      </c>
      <c r="AS25" s="11" t="n">
        <v>302.362788920325</v>
      </c>
      <c r="AT25" s="11" t="n">
        <v>296.454016959587</v>
      </c>
      <c r="AU25" s="11" t="n">
        <v>292.083165846717</v>
      </c>
      <c r="AV25" s="11" t="n">
        <v>288.499835178052</v>
      </c>
      <c r="AW25" s="11" t="n">
        <v>286.294774303218</v>
      </c>
      <c r="AX25" s="11" t="n">
        <v>284.819084341157</v>
      </c>
      <c r="AY25" s="11" t="n">
        <v>279.825137415649</v>
      </c>
      <c r="AZ25" s="11" t="n">
        <v>276.70069207228</v>
      </c>
      <c r="BA25" s="11" t="n">
        <v>274.398697114386</v>
      </c>
      <c r="BB25" s="11" t="n">
        <v>272.621552699253</v>
      </c>
      <c r="BC25" s="11" t="n">
        <v>271.382534244651</v>
      </c>
      <c r="BD25" s="11" t="n">
        <v>271.731471998855</v>
      </c>
      <c r="BE25" s="11" t="n">
        <v>272.251691812101</v>
      </c>
      <c r="BF25" s="11" t="n">
        <v>272.48506716829</v>
      </c>
      <c r="BG25" s="11" t="n">
        <v>273.06044503633</v>
      </c>
      <c r="BH25" s="11" t="n">
        <v>272.807284085832</v>
      </c>
      <c r="BI25" s="11" t="n">
        <v>273.127261755289</v>
      </c>
      <c r="BJ25" s="11" t="n">
        <v>273.379098804112</v>
      </c>
      <c r="BK25" s="11" t="n">
        <v>275.156395203653</v>
      </c>
      <c r="BL25" s="11" t="n">
        <v>274.043302206898</v>
      </c>
      <c r="BM25" s="11" t="n">
        <v>274.779590897708</v>
      </c>
      <c r="BN25" s="11" t="n">
        <v>1654.96612304114</v>
      </c>
      <c r="BO25" s="11" t="n">
        <v>1513.66175105726</v>
      </c>
      <c r="BP25" s="11" t="n">
        <v>1416.13952331036</v>
      </c>
      <c r="BQ25" s="11" t="n">
        <v>1362.38594786925</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140.220832717651</v>
      </c>
      <c r="J26" s="11" t="n">
        <v>141.62570447565</v>
      </c>
      <c r="K26" s="11" t="n">
        <v>141.138614388231</v>
      </c>
      <c r="L26" s="11" t="n">
        <v>138.524436182827</v>
      </c>
      <c r="M26" s="11" t="n">
        <v>135.462212228555</v>
      </c>
      <c r="N26" s="11" t="n">
        <v>129.859065263225</v>
      </c>
      <c r="O26" s="11" t="n">
        <v>123.920486839629</v>
      </c>
      <c r="P26" s="11" t="n">
        <v>118.64001130189</v>
      </c>
      <c r="Q26" s="11" t="n">
        <v>116.77678020067</v>
      </c>
      <c r="R26" s="11" t="n">
        <v>111.853160224235</v>
      </c>
      <c r="S26" s="11" t="n">
        <v>107.03393682204</v>
      </c>
      <c r="T26" s="11" t="n">
        <v>102.664117491926</v>
      </c>
      <c r="U26" s="11" t="n">
        <v>99.2297893209561</v>
      </c>
      <c r="V26" s="11" t="n">
        <v>94.7753153178419</v>
      </c>
      <c r="W26" s="11" t="n">
        <v>88.4981359307023</v>
      </c>
      <c r="X26" s="11" t="n">
        <v>83.9244036183387</v>
      </c>
      <c r="Y26" s="11" t="n">
        <v>78.667322755185</v>
      </c>
      <c r="Z26" s="11" t="n">
        <v>75.6712751364844</v>
      </c>
      <c r="AA26" s="11" t="n">
        <v>73.8280122064821</v>
      </c>
      <c r="AB26" s="11" t="n">
        <v>68.980177011707</v>
      </c>
      <c r="AC26" s="11" t="n">
        <v>66.6821086932931</v>
      </c>
      <c r="AD26" s="11" t="n">
        <v>65.4783580021182</v>
      </c>
      <c r="AE26" s="11" t="n">
        <v>63.0801894570004</v>
      </c>
      <c r="AF26" s="11" t="n">
        <v>63.35861040571</v>
      </c>
      <c r="AG26" s="11" t="n">
        <v>62.7602337118584</v>
      </c>
      <c r="AH26" s="11" t="n">
        <v>62.4134940187284</v>
      </c>
      <c r="AI26" s="11" t="n">
        <v>59.9984424095154</v>
      </c>
      <c r="AJ26" s="11" t="n">
        <v>58.7276734594613</v>
      </c>
      <c r="AK26" s="11" t="n">
        <v>58.0898467243932</v>
      </c>
      <c r="AL26" s="11" t="n">
        <v>57.0200585910277</v>
      </c>
      <c r="AM26" s="11" t="n">
        <v>55.5172727235413</v>
      </c>
      <c r="AN26" s="11" t="n">
        <v>54.6899205809672</v>
      </c>
      <c r="AO26" s="11" t="n">
        <v>54.0164323760566</v>
      </c>
      <c r="AP26" s="11" t="n">
        <v>54.1501978596069</v>
      </c>
      <c r="AQ26" s="11" t="n">
        <v>52.9312219279937</v>
      </c>
      <c r="AR26" s="11" t="n">
        <v>51.9269969366244</v>
      </c>
      <c r="AS26" s="11" t="n">
        <v>50.9209282372141</v>
      </c>
      <c r="AT26" s="11" t="n">
        <v>49.9783136794281</v>
      </c>
      <c r="AU26" s="11" t="n">
        <v>49.0429376238471</v>
      </c>
      <c r="AV26" s="11" t="n">
        <v>48.1921865046271</v>
      </c>
      <c r="AW26" s="11" t="n">
        <v>47.457565350538</v>
      </c>
      <c r="AX26" s="11" t="n">
        <v>46.7327031475927</v>
      </c>
      <c r="AY26" s="11" t="n">
        <v>46.0114752575655</v>
      </c>
      <c r="AZ26" s="11" t="n">
        <v>45.3248957509116</v>
      </c>
      <c r="BA26" s="11" t="n">
        <v>44.7383329762455</v>
      </c>
      <c r="BB26" s="11" t="n">
        <v>44.1588851607982</v>
      </c>
      <c r="BC26" s="11" t="n">
        <v>43.6378077792597</v>
      </c>
      <c r="BD26" s="11" t="n">
        <v>43.1280378513793</v>
      </c>
      <c r="BE26" s="11" t="n">
        <v>42.6617685600963</v>
      </c>
      <c r="BF26" s="11" t="n">
        <v>42.257668961349</v>
      </c>
      <c r="BG26" s="11" t="n">
        <v>41.8711628303386</v>
      </c>
      <c r="BH26" s="11" t="n">
        <v>41.5009684999814</v>
      </c>
      <c r="BI26" s="11" t="n">
        <v>41.1476376769034</v>
      </c>
      <c r="BJ26" s="11" t="n">
        <v>40.8054723806999</v>
      </c>
      <c r="BK26" s="11" t="n">
        <v>40.4844565602874</v>
      </c>
      <c r="BL26" s="11" t="n">
        <v>40.1876887729679</v>
      </c>
      <c r="BM26" s="11" t="n">
        <v>39.9126729700904</v>
      </c>
      <c r="BN26" s="11" t="n">
        <v>275.3938821312</v>
      </c>
      <c r="BO26" s="11" t="n">
        <v>254.800398405107</v>
      </c>
      <c r="BP26" s="11" t="n">
        <v>233.718826011235</v>
      </c>
      <c r="BQ26" s="11" t="n">
        <v>218.324832327779</v>
      </c>
    </row>
    <row r="27" customFormat="false" ht="13.8" hidden="false" customHeight="false" outlineLevel="0" collapsed="false">
      <c r="A27" s="11" t="s">
        <v>155</v>
      </c>
      <c r="B27" s="11" t="s">
        <v>140</v>
      </c>
      <c r="C27" s="11" t="s">
        <v>139</v>
      </c>
      <c r="D27" s="12"/>
      <c r="E27" s="11" t="n">
        <v>44.3002234775336</v>
      </c>
      <c r="F27" s="11" t="n">
        <v>44.4052277252299</v>
      </c>
      <c r="G27" s="11" t="n">
        <v>39.9378274497614</v>
      </c>
      <c r="H27" s="11" t="n">
        <v>36.1377812173721</v>
      </c>
      <c r="I27" s="11" t="n">
        <v>36.733575590136</v>
      </c>
      <c r="J27" s="11" t="n">
        <v>35.5262647513158</v>
      </c>
      <c r="K27" s="11" t="n">
        <v>35.5202840220701</v>
      </c>
      <c r="L27" s="11" t="n">
        <v>35.7888793937191</v>
      </c>
      <c r="M27" s="11" t="n">
        <v>35.8446693081235</v>
      </c>
      <c r="N27" s="11" t="n">
        <v>27.2931949805531</v>
      </c>
      <c r="O27" s="11" t="n">
        <v>26.7745080049933</v>
      </c>
      <c r="P27" s="11" t="n">
        <v>25.5332295216333</v>
      </c>
      <c r="Q27" s="11" t="n">
        <v>24.0080781455952</v>
      </c>
      <c r="R27" s="11" t="n">
        <v>23.6493473576149</v>
      </c>
      <c r="S27" s="11" t="n">
        <v>24.1732056787632</v>
      </c>
      <c r="T27" s="11" t="n">
        <v>23.2738708129377</v>
      </c>
      <c r="U27" s="11" t="n">
        <v>22.3723859735233</v>
      </c>
      <c r="V27" s="11" t="n">
        <v>22.3871776205364</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20.0055547697637</v>
      </c>
      <c r="AF27" s="11" t="n">
        <v>20.2878791430463</v>
      </c>
      <c r="AG27" s="11" t="n">
        <v>20.1618254992518</v>
      </c>
      <c r="AH27" s="11" t="n">
        <v>20.2029843423827</v>
      </c>
      <c r="AI27" s="11" t="n">
        <v>18.9789878158805</v>
      </c>
      <c r="AJ27" s="11" t="n">
        <v>19.343581552368</v>
      </c>
      <c r="AK27" s="11" t="n">
        <v>18.5808205022007</v>
      </c>
      <c r="AL27" s="11" t="n">
        <v>18.4485657982639</v>
      </c>
      <c r="AM27" s="11" t="n">
        <v>18.7553341449773</v>
      </c>
      <c r="AN27" s="11" t="n">
        <v>18.7423378264717</v>
      </c>
      <c r="AO27" s="11" t="n">
        <v>18.7256565988423</v>
      </c>
      <c r="AP27" s="11" t="n">
        <v>18.6787659690297</v>
      </c>
      <c r="AQ27" s="11" t="n">
        <v>18.5392164004719</v>
      </c>
      <c r="AR27" s="11" t="n">
        <v>18.5143567029015</v>
      </c>
      <c r="AS27" s="11" t="n">
        <v>18.4527621597031</v>
      </c>
      <c r="AT27" s="11" t="n">
        <v>18.3736905575892</v>
      </c>
      <c r="AU27" s="11" t="n">
        <v>18.2325520142589</v>
      </c>
      <c r="AV27" s="11" t="n">
        <v>18.1406817218077</v>
      </c>
      <c r="AW27" s="11" t="n">
        <v>18.0644440705941</v>
      </c>
      <c r="AX27" s="11" t="n">
        <v>17.9587602204149</v>
      </c>
      <c r="AY27" s="11" t="n">
        <v>17.8498137955513</v>
      </c>
      <c r="AZ27" s="11" t="n">
        <v>17.6614807011893</v>
      </c>
      <c r="BA27" s="11" t="n">
        <v>17.5836010799384</v>
      </c>
      <c r="BB27" s="11" t="n">
        <v>17.4848747187891</v>
      </c>
      <c r="BC27" s="11" t="n">
        <v>17.410956058353</v>
      </c>
      <c r="BD27" s="11" t="n">
        <v>17.3416111264904</v>
      </c>
      <c r="BE27" s="11" t="n">
        <v>17.2833004416242</v>
      </c>
      <c r="BF27" s="11" t="n">
        <v>17.230036180946</v>
      </c>
      <c r="BG27" s="11" t="n">
        <v>17.1744674721915</v>
      </c>
      <c r="BH27" s="11" t="n">
        <v>17.1170749323111</v>
      </c>
      <c r="BI27" s="11" t="n">
        <v>17.0644928346474</v>
      </c>
      <c r="BJ27" s="11" t="n">
        <v>17.0088519278498</v>
      </c>
      <c r="BK27" s="11" t="n">
        <v>16.9584421832802</v>
      </c>
      <c r="BL27" s="11" t="n">
        <v>16.8992877718982</v>
      </c>
      <c r="BM27" s="11" t="n">
        <v>16.8469965451566</v>
      </c>
      <c r="BN27" s="11" t="n">
        <v>93.3506603375849</v>
      </c>
      <c r="BO27" s="11" t="n">
        <v>92.1125778349245</v>
      </c>
      <c r="BP27" s="11" t="n">
        <v>89.6751805095572</v>
      </c>
      <c r="BQ27" s="11" t="n">
        <v>87.104343425195</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10.4979550302191</v>
      </c>
      <c r="Z28" s="11" t="n">
        <v>11.0654107151362</v>
      </c>
      <c r="AA28" s="11" t="n">
        <v>11.5161328830887</v>
      </c>
      <c r="AB28" s="11" t="n">
        <v>11.6114703501195</v>
      </c>
      <c r="AC28" s="11" t="n">
        <v>11.1356108294494</v>
      </c>
      <c r="AD28" s="11" t="n">
        <v>10.9498065093755</v>
      </c>
      <c r="AE28" s="11" t="n">
        <v>10.6141423946229</v>
      </c>
      <c r="AF28" s="11" t="n">
        <v>10.121289044966</v>
      </c>
      <c r="AG28" s="11" t="n">
        <v>9.66952181906882</v>
      </c>
      <c r="AH28" s="11" t="n">
        <v>8.98580877911218</v>
      </c>
      <c r="AI28" s="11" t="n">
        <v>8.15976812106435</v>
      </c>
      <c r="AJ28" s="11" t="n">
        <v>7.58436627904264</v>
      </c>
      <c r="AK28" s="11" t="n">
        <v>7.06898863688572</v>
      </c>
      <c r="AL28" s="11" t="n">
        <v>6.59748890429982</v>
      </c>
      <c r="AM28" s="11" t="n">
        <v>6.14657126839515</v>
      </c>
      <c r="AN28" s="11" t="n">
        <v>5.78995641676736</v>
      </c>
      <c r="AO28" s="11" t="n">
        <v>5.45582110094932</v>
      </c>
      <c r="AP28" s="11" t="n">
        <v>5.13969410232909</v>
      </c>
      <c r="AQ28" s="11" t="n">
        <v>4.83421727365179</v>
      </c>
      <c r="AR28" s="11" t="n">
        <v>4.55598570157372</v>
      </c>
      <c r="AS28" s="11" t="n">
        <v>4.31470265813777</v>
      </c>
      <c r="AT28" s="11" t="n">
        <v>4.09884472060176</v>
      </c>
      <c r="AU28" s="11" t="n">
        <v>3.89091088317771</v>
      </c>
      <c r="AV28" s="11" t="n">
        <v>3.70734813175857</v>
      </c>
      <c r="AW28" s="11" t="n">
        <v>3.53638632023551</v>
      </c>
      <c r="AX28" s="11" t="n">
        <v>3.38044042697567</v>
      </c>
      <c r="AY28" s="11" t="n">
        <v>3.24624656805012</v>
      </c>
      <c r="AZ28" s="11" t="n">
        <v>3.14013667374679</v>
      </c>
      <c r="BA28" s="11" t="n">
        <v>3.06190005083168</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1.48366130882975</v>
      </c>
      <c r="F29" s="11" t="n">
        <v>1.24305334298279</v>
      </c>
      <c r="G29" s="11" t="n">
        <v>0.617640551647897</v>
      </c>
      <c r="H29" s="11" t="n">
        <v>0.538700846476154</v>
      </c>
      <c r="I29" s="11" t="n">
        <v>0.546409279966551</v>
      </c>
      <c r="J29" s="11" t="n">
        <v>0.533270281772292</v>
      </c>
      <c r="K29" s="11" t="n">
        <v>0.531928867885412</v>
      </c>
      <c r="L29" s="11" t="n">
        <v>0.44692564402011</v>
      </c>
      <c r="M29" s="11" t="n">
        <v>0.43528910732139</v>
      </c>
      <c r="N29" s="11" t="n">
        <v>0.412312802276656</v>
      </c>
      <c r="O29" s="11" t="n">
        <v>0.51862161306472</v>
      </c>
      <c r="P29" s="11" t="n">
        <v>0.432138729457178</v>
      </c>
      <c r="Q29" s="11" t="n">
        <v>0.364067786446408</v>
      </c>
      <c r="R29" s="11" t="n">
        <v>0.318513971049458</v>
      </c>
      <c r="S29" s="11" t="n">
        <v>0.402942811428176</v>
      </c>
      <c r="T29" s="11" t="n">
        <v>0.368307653921605</v>
      </c>
      <c r="U29" s="11" t="n">
        <v>0.369821205860997</v>
      </c>
      <c r="V29" s="11" t="n">
        <v>0.277694286963564</v>
      </c>
      <c r="W29" s="11" t="n">
        <v>0.255311612882481</v>
      </c>
      <c r="X29" s="11" t="n">
        <v>0.195240026958578</v>
      </c>
      <c r="Y29" s="11" t="n">
        <v>0.281496039558142</v>
      </c>
      <c r="Z29" s="11" t="n">
        <v>0.399303588048535</v>
      </c>
      <c r="AA29" s="11" t="n">
        <v>0.243138181819986</v>
      </c>
      <c r="AB29" s="11" t="n">
        <v>0.294217429839836</v>
      </c>
      <c r="AC29" s="11" t="n">
        <v>0.23782779605641</v>
      </c>
      <c r="AD29" s="11" t="n">
        <v>0.274427975434271</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0.145322964863699</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0.788373788456026</v>
      </c>
      <c r="BP29" s="11" t="n">
        <v>0.788373788456026</v>
      </c>
      <c r="BQ29" s="11" t="n">
        <v>0.788373788456026</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0.426418736992623</v>
      </c>
      <c r="AE30" s="11" t="n">
        <v>0.458386532676318</v>
      </c>
      <c r="AF30" s="11" t="n">
        <v>0.460093295564997</v>
      </c>
      <c r="AG30" s="11" t="n">
        <v>0.565037427403676</v>
      </c>
      <c r="AH30" s="11" t="n">
        <v>0.49719676355469</v>
      </c>
      <c r="AI30" s="11" t="n">
        <v>0.425406162786779</v>
      </c>
      <c r="AJ30" s="11" t="n">
        <v>0.38749956929647</v>
      </c>
      <c r="AK30" s="11" t="n">
        <v>0.333442729385777</v>
      </c>
      <c r="AL30" s="11" t="n">
        <v>0.301791676439176</v>
      </c>
      <c r="AM30" s="11" t="n">
        <v>0.307854862676676</v>
      </c>
      <c r="AN30" s="11" t="n">
        <v>0.314290204270113</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0.372815184884234</v>
      </c>
      <c r="AW30" s="11" t="n">
        <v>0.380977508595361</v>
      </c>
      <c r="AX30" s="11" t="n">
        <v>0.389343890399265</v>
      </c>
      <c r="AY30" s="11" t="n">
        <v>0.389343890399265</v>
      </c>
      <c r="AZ30" s="11" t="n">
        <v>0.389343890399265</v>
      </c>
      <c r="BA30" s="11" t="n">
        <v>0.389343890399265</v>
      </c>
      <c r="BB30" s="11" t="n">
        <v>0.389343890399265</v>
      </c>
      <c r="BC30" s="11" t="n">
        <v>0.389343890399265</v>
      </c>
      <c r="BD30" s="11" t="n">
        <v>0.389343890399265</v>
      </c>
      <c r="BE30" s="11" t="n">
        <v>0.389343890399265</v>
      </c>
      <c r="BF30" s="11" t="n">
        <v>0.389343890399265</v>
      </c>
      <c r="BG30" s="11" t="n">
        <v>0.389343890399265</v>
      </c>
      <c r="BH30" s="11" t="n">
        <v>0.389343890399265</v>
      </c>
      <c r="BI30" s="11" t="n">
        <v>0.389343890399265</v>
      </c>
      <c r="BJ30" s="11" t="n">
        <v>0.389343890399265</v>
      </c>
      <c r="BK30" s="11" t="n">
        <v>0.389343890399265</v>
      </c>
      <c r="BL30" s="11" t="n">
        <v>0.389343890399265</v>
      </c>
      <c r="BM30" s="11" t="n">
        <v>0.389343890399265</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32.3429075604533</v>
      </c>
      <c r="H33" s="11" t="n">
        <v>32.2867215516015</v>
      </c>
      <c r="I33" s="11" t="n">
        <v>32.4376625870691</v>
      </c>
      <c r="J33" s="11" t="n">
        <v>32.2069060308038</v>
      </c>
      <c r="K33" s="11" t="n">
        <v>32.8262420298166</v>
      </c>
      <c r="L33" s="11" t="n">
        <v>32.5783502819476</v>
      </c>
      <c r="M33" s="11" t="n">
        <v>32.6734220770182</v>
      </c>
      <c r="N33" s="11" t="n">
        <v>32.5130465142707</v>
      </c>
      <c r="O33" s="11" t="n">
        <v>31.5208846643531</v>
      </c>
      <c r="P33" s="11" t="n">
        <v>29.9473573096137</v>
      </c>
      <c r="Q33" s="11" t="n">
        <v>29.4891220094733</v>
      </c>
      <c r="R33" s="11" t="n">
        <v>29.7648113387233</v>
      </c>
      <c r="S33" s="11" t="n">
        <v>30.0129038331228</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27.8900628145383</v>
      </c>
      <c r="AK33" s="11" t="n">
        <v>27.7847764250513</v>
      </c>
      <c r="AL33" s="11" t="n">
        <v>27.2034581433579</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16.3728090246473</v>
      </c>
      <c r="F34" s="11" t="n">
        <v>16.3652204738222</v>
      </c>
      <c r="G34" s="11" t="n">
        <v>15.7880323748618</v>
      </c>
      <c r="H34" s="11" t="n">
        <v>15.3872752709717</v>
      </c>
      <c r="I34" s="11" t="n">
        <v>15.9578378738726</v>
      </c>
      <c r="J34" s="11" t="n">
        <v>16.0073151624586</v>
      </c>
      <c r="K34" s="11" t="n">
        <v>16.2385566670362</v>
      </c>
      <c r="L34" s="11" t="n">
        <v>16.4227129027924</v>
      </c>
      <c r="M34" s="11" t="n">
        <v>16.2079933627153</v>
      </c>
      <c r="N34" s="11" t="n">
        <v>16.2277371694367</v>
      </c>
      <c r="O34" s="11" t="n">
        <v>15.5059070589611</v>
      </c>
      <c r="P34" s="11" t="n">
        <v>14.9262809717382</v>
      </c>
      <c r="Q34" s="11" t="n">
        <v>14.9166492139828</v>
      </c>
      <c r="R34" s="11" t="n">
        <v>14.8411843098522</v>
      </c>
      <c r="S34" s="11" t="n">
        <v>14.6249013723468</v>
      </c>
      <c r="T34" s="11" t="n">
        <v>14.319878479678</v>
      </c>
      <c r="U34" s="11" t="n">
        <v>13.9484125589319</v>
      </c>
      <c r="V34" s="11" t="n">
        <v>13.6898865319666</v>
      </c>
      <c r="W34" s="11" t="n">
        <v>13.5903470722667</v>
      </c>
      <c r="X34" s="11" t="n">
        <v>13.5319011034865</v>
      </c>
      <c r="Y34" s="11" t="n">
        <v>13.7591024678466</v>
      </c>
      <c r="Z34" s="11" t="n">
        <v>13.7877731979964</v>
      </c>
      <c r="AA34" s="11" t="n">
        <v>13.6595715469706</v>
      </c>
      <c r="AB34" s="11" t="n">
        <v>13.7111904939868</v>
      </c>
      <c r="AC34" s="11" t="n">
        <v>14.2109240717554</v>
      </c>
      <c r="AD34" s="11" t="n">
        <v>14.1380536664966</v>
      </c>
      <c r="AE34" s="11" t="n">
        <v>13.813109346583</v>
      </c>
      <c r="AF34" s="11" t="n">
        <v>14.0170958536443</v>
      </c>
      <c r="AG34" s="11" t="n">
        <v>13.8566444133239</v>
      </c>
      <c r="AH34" s="11" t="n">
        <v>13.9485106648271</v>
      </c>
      <c r="AI34" s="11" t="n">
        <v>13.1569075442857</v>
      </c>
      <c r="AJ34" s="11" t="n">
        <v>13.478563412585</v>
      </c>
      <c r="AK34" s="11" t="n">
        <v>12.7290815643072</v>
      </c>
      <c r="AL34" s="11" t="n">
        <v>12.5191024192604</v>
      </c>
      <c r="AM34" s="11" t="n">
        <v>12.5045953938355</v>
      </c>
      <c r="AN34" s="11" t="n">
        <v>12.5098559697839</v>
      </c>
      <c r="AO34" s="11" t="n">
        <v>12.5217901091835</v>
      </c>
      <c r="AP34" s="11" t="n">
        <v>12.5376828555556</v>
      </c>
      <c r="AQ34" s="11" t="n">
        <v>12.5541577344059</v>
      </c>
      <c r="AR34" s="11" t="n">
        <v>12.5678684965442</v>
      </c>
      <c r="AS34" s="11" t="n">
        <v>12.5756416332501</v>
      </c>
      <c r="AT34" s="11" t="n">
        <v>12.5570215325553</v>
      </c>
      <c r="AU34" s="11" t="n">
        <v>12.5324913014387</v>
      </c>
      <c r="AV34" s="11" t="n">
        <v>12.5034970082266</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62.7871806981944</v>
      </c>
      <c r="BP34" s="11" t="n">
        <v>62.1470433189398</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78.7038688301601</v>
      </c>
      <c r="AO39" s="11" t="n">
        <v>79.3790503029245</v>
      </c>
      <c r="AP39" s="11" t="n">
        <v>80.6622040331328</v>
      </c>
      <c r="AQ39" s="11" t="n">
        <v>80.4175431633565</v>
      </c>
      <c r="AR39" s="11" t="n">
        <v>79.6410659961782</v>
      </c>
      <c r="AS39" s="11" t="n">
        <v>79.4240522997463</v>
      </c>
      <c r="AT39" s="11" t="n">
        <v>79.3695109751337</v>
      </c>
      <c r="AU39" s="11" t="n">
        <v>79.3209514983811</v>
      </c>
      <c r="AV39" s="11" t="n">
        <v>79.3200591292894</v>
      </c>
      <c r="AW39" s="11" t="n">
        <v>79.3377896295624</v>
      </c>
      <c r="AX39" s="11" t="n">
        <v>79.4047941831465</v>
      </c>
      <c r="AY39" s="11" t="n">
        <v>79.941398270859</v>
      </c>
      <c r="AZ39" s="11" t="n">
        <v>80.0897672096921</v>
      </c>
      <c r="BA39" s="11" t="n">
        <v>80.3691357260086</v>
      </c>
      <c r="BB39" s="11" t="n">
        <v>80.6626875853889</v>
      </c>
      <c r="BC39" s="11" t="n">
        <v>80.9996003178008</v>
      </c>
      <c r="BD39" s="11" t="n">
        <v>81.4207367854075</v>
      </c>
      <c r="BE39" s="11" t="n">
        <v>81.6485609610943</v>
      </c>
      <c r="BF39" s="11" t="n">
        <v>81.7926026131949</v>
      </c>
      <c r="BG39" s="11" t="n">
        <v>82.1288999276384</v>
      </c>
      <c r="BH39" s="11" t="n">
        <v>82.1347157203592</v>
      </c>
      <c r="BI39" s="11" t="n">
        <v>82.2457664095836</v>
      </c>
      <c r="BJ39" s="11" t="n">
        <v>82.4959749603642</v>
      </c>
      <c r="BK39" s="11" t="n">
        <v>82.5527815100983</v>
      </c>
      <c r="BL39" s="11" t="n">
        <v>82.511829626962</v>
      </c>
      <c r="BM39" s="11" t="n">
        <v>82.4646432891634</v>
      </c>
      <c r="BN39" s="11" t="n">
        <v>386.214412551537</v>
      </c>
      <c r="BO39" s="11" t="n">
        <v>398.173123932796</v>
      </c>
      <c r="BP39" s="11" t="n">
        <v>398.093808422549</v>
      </c>
      <c r="BQ39" s="11" t="n">
        <v>405.1007213757</v>
      </c>
    </row>
    <row r="40" customFormat="false" ht="13.8" hidden="false" customHeight="false" outlineLevel="0" collapsed="false">
      <c r="A40" s="11" t="s">
        <v>154</v>
      </c>
      <c r="B40" s="11" t="s">
        <v>145</v>
      </c>
      <c r="C40" s="11" t="s">
        <v>139</v>
      </c>
      <c r="D40" s="12"/>
      <c r="E40" s="11" t="n">
        <v>1.9343874301736</v>
      </c>
      <c r="F40" s="11" t="n">
        <v>2.09281339675811</v>
      </c>
      <c r="G40" s="11" t="n">
        <v>1.90487465016747</v>
      </c>
      <c r="H40" s="11" t="n">
        <v>2.0400292812682</v>
      </c>
      <c r="I40" s="11" t="n">
        <v>1.7952750564989</v>
      </c>
      <c r="J40" s="11" t="n">
        <v>1.44938866258208</v>
      </c>
      <c r="K40" s="11" t="n">
        <v>1.51122564806966</v>
      </c>
      <c r="L40" s="11" t="n">
        <v>1.3737866328731</v>
      </c>
      <c r="M40" s="11" t="n">
        <v>1.33054053572705</v>
      </c>
      <c r="N40" s="11" t="n">
        <v>1.34823620318337</v>
      </c>
      <c r="O40" s="11" t="n">
        <v>1.18822527709927</v>
      </c>
      <c r="P40" s="11" t="n">
        <v>1.16633944776346</v>
      </c>
      <c r="Q40" s="11" t="n">
        <v>1.01383296021305</v>
      </c>
      <c r="R40" s="11" t="n">
        <v>0.93322154285008</v>
      </c>
      <c r="S40" s="11" t="n">
        <v>0.901857739023368</v>
      </c>
      <c r="T40" s="11" t="n">
        <v>0.812122999703224</v>
      </c>
      <c r="U40" s="11" t="n">
        <v>0.795568701358164</v>
      </c>
      <c r="V40" s="11" t="n">
        <v>0.759026928260703</v>
      </c>
      <c r="W40" s="11" t="n">
        <v>0.760082219226097</v>
      </c>
      <c r="X40" s="11" t="n">
        <v>0.745030177478766</v>
      </c>
      <c r="Y40" s="11" t="n">
        <v>0.829548103312322</v>
      </c>
      <c r="Z40" s="11" t="n">
        <v>0.748458555760482</v>
      </c>
      <c r="AA40" s="11" t="n">
        <v>0.78790328833195</v>
      </c>
      <c r="AB40" s="11" t="n">
        <v>0.825365487716614</v>
      </c>
      <c r="AC40" s="11" t="n">
        <v>0.752002415193222</v>
      </c>
      <c r="AD40" s="11" t="n">
        <v>0.769371740819121</v>
      </c>
      <c r="AE40" s="11" t="n">
        <v>0.797824147621668</v>
      </c>
      <c r="AF40" s="11" t="n">
        <v>0.84420341170345</v>
      </c>
      <c r="AG40" s="11" t="n">
        <v>0.884861076081247</v>
      </c>
      <c r="AH40" s="11" t="n">
        <v>0.866246153304041</v>
      </c>
      <c r="AI40" s="11" t="n">
        <v>0.888298323747082</v>
      </c>
      <c r="AJ40" s="11" t="n">
        <v>0.949358927981948</v>
      </c>
      <c r="AK40" s="11" t="n">
        <v>0.895104911792876</v>
      </c>
      <c r="AL40" s="11" t="n">
        <v>0.844939001939519</v>
      </c>
      <c r="AM40" s="11" t="n">
        <v>0.886295151247936</v>
      </c>
      <c r="AN40" s="11" t="n">
        <v>0.89560956965236</v>
      </c>
      <c r="AO40" s="11" t="n">
        <v>0.899698536712254</v>
      </c>
      <c r="AP40" s="11" t="n">
        <v>0.910247325120301</v>
      </c>
      <c r="AQ40" s="11" t="n">
        <v>0.910442802941691</v>
      </c>
      <c r="AR40" s="11" t="n">
        <v>0.902352395327563</v>
      </c>
      <c r="AS40" s="11" t="n">
        <v>0.889298376598251</v>
      </c>
      <c r="AT40" s="11" t="n">
        <v>0.882207898638397</v>
      </c>
      <c r="AU40" s="11" t="n">
        <v>0.879264719863207</v>
      </c>
      <c r="AV40" s="11" t="n">
        <v>0.872094015506452</v>
      </c>
      <c r="AW40" s="11" t="n">
        <v>0.863594991968948</v>
      </c>
      <c r="AX40" s="11" t="n">
        <v>0.84349301066933</v>
      </c>
      <c r="AY40" s="11" t="n">
        <v>0.821030421052591</v>
      </c>
      <c r="AZ40" s="11" t="n">
        <v>0.789791693164431</v>
      </c>
      <c r="BA40" s="11" t="n">
        <v>0.776356631187679</v>
      </c>
      <c r="BB40" s="11" t="n">
        <v>0.763175849481598</v>
      </c>
      <c r="BC40" s="11" t="n">
        <v>0.751195299436283</v>
      </c>
      <c r="BD40" s="11" t="n">
        <v>0.739231290852393</v>
      </c>
      <c r="BE40" s="11" t="n">
        <v>0.722694214114001</v>
      </c>
      <c r="BF40" s="11" t="n">
        <v>0.714161899851939</v>
      </c>
      <c r="BG40" s="11" t="n">
        <v>0.704728661090424</v>
      </c>
      <c r="BH40" s="11" t="n">
        <v>0.68828407176523</v>
      </c>
      <c r="BI40" s="11" t="n">
        <v>0.670561607408995</v>
      </c>
      <c r="BJ40" s="11" t="n">
        <v>0.654965404730677</v>
      </c>
      <c r="BK40" s="11" t="n">
        <v>0.644817324596629</v>
      </c>
      <c r="BL40" s="11" t="n">
        <v>0.644483745105439</v>
      </c>
      <c r="BM40" s="11" t="n">
        <v>0.644345199938499</v>
      </c>
      <c r="BN40" s="11" t="n">
        <v>4.43678958467237</v>
      </c>
      <c r="BO40" s="11" t="n">
        <v>4.46356619336911</v>
      </c>
      <c r="BP40" s="11" t="n">
        <v>4.19000413236175</v>
      </c>
      <c r="BQ40" s="11" t="n">
        <v>3.75265328507195</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0.727990636052087</v>
      </c>
      <c r="M41" s="11" t="n">
        <v>0.720053765993904</v>
      </c>
      <c r="N41" s="11" t="n">
        <v>0.724653000290284</v>
      </c>
      <c r="O41" s="11" t="n">
        <v>0.704194326455599</v>
      </c>
      <c r="P41" s="11" t="n">
        <v>0.714911564243158</v>
      </c>
      <c r="Q41" s="11" t="n">
        <v>0.688574056524535</v>
      </c>
      <c r="R41" s="11" t="n">
        <v>0.676763604250922</v>
      </c>
      <c r="S41" s="11" t="n">
        <v>0.680768457459176</v>
      </c>
      <c r="T41" s="11" t="n">
        <v>0.670982937926471</v>
      </c>
      <c r="U41" s="11" t="n">
        <v>0.674474885150766</v>
      </c>
      <c r="V41" s="11" t="n">
        <v>0.669230340665885</v>
      </c>
      <c r="W41" s="11" t="n">
        <v>0.673097742682907</v>
      </c>
      <c r="X41" s="11" t="n">
        <v>0.67454986089093</v>
      </c>
      <c r="Y41" s="11" t="n">
        <v>0.6907640100899</v>
      </c>
      <c r="Z41" s="11" t="n">
        <v>0.675831255143988</v>
      </c>
      <c r="AA41" s="11" t="n">
        <v>0.846545414599524</v>
      </c>
      <c r="AB41" s="11" t="n">
        <v>0.891900592001091</v>
      </c>
      <c r="AC41" s="11" t="n">
        <v>0.893546411799337</v>
      </c>
      <c r="AD41" s="11" t="n">
        <v>0.904083788266458</v>
      </c>
      <c r="AE41" s="11" t="n">
        <v>0.913451796364845</v>
      </c>
      <c r="AF41" s="11" t="n">
        <v>0.905720524710327</v>
      </c>
      <c r="AG41" s="11" t="n">
        <v>0.916538088663762</v>
      </c>
      <c r="AH41" s="11" t="n">
        <v>0.924124505580662</v>
      </c>
      <c r="AI41" s="11" t="n">
        <v>0.901472041065115</v>
      </c>
      <c r="AJ41" s="11" t="n">
        <v>0.883802548357134</v>
      </c>
      <c r="AK41" s="11" t="n">
        <v>0.845712936789407</v>
      </c>
      <c r="AL41" s="11" t="n">
        <v>0.836001263230554</v>
      </c>
      <c r="AM41" s="11" t="n">
        <v>0.889097789671652</v>
      </c>
      <c r="AN41" s="11" t="n">
        <v>0.895993408410715</v>
      </c>
      <c r="AO41" s="11" t="n">
        <v>0.901086734826025</v>
      </c>
      <c r="AP41" s="11" t="n">
        <v>0.906432443203252</v>
      </c>
      <c r="AQ41" s="11" t="n">
        <v>0.909359326959801</v>
      </c>
      <c r="AR41" s="11" t="n">
        <v>0.91099206763756</v>
      </c>
      <c r="AS41" s="11" t="n">
        <v>0.911916207236927</v>
      </c>
      <c r="AT41" s="11" t="n">
        <v>0.91359094765975</v>
      </c>
      <c r="AU41" s="11" t="n">
        <v>0.915752463641972</v>
      </c>
      <c r="AV41" s="11" t="n">
        <v>0.917361514712617</v>
      </c>
      <c r="AW41" s="11" t="n">
        <v>0.918744621644372</v>
      </c>
      <c r="AX41" s="11" t="n">
        <v>0.918476925430297</v>
      </c>
      <c r="AY41" s="11" t="n">
        <v>0.917844188647924</v>
      </c>
      <c r="AZ41" s="11" t="n">
        <v>0.915931230700527</v>
      </c>
      <c r="BA41" s="11" t="n">
        <v>0.916432975182838</v>
      </c>
      <c r="BB41" s="11" t="n">
        <v>0.916926798978472</v>
      </c>
      <c r="BC41" s="11" t="n">
        <v>0.917581023979597</v>
      </c>
      <c r="BD41" s="11" t="n">
        <v>0.918202651172192</v>
      </c>
      <c r="BE41" s="11" t="n">
        <v>0.918144588818603</v>
      </c>
      <c r="BF41" s="11" t="n">
        <v>0.919169509833778</v>
      </c>
      <c r="BG41" s="11" t="n">
        <v>0.920007529104289</v>
      </c>
      <c r="BH41" s="11" t="n">
        <v>0.919760419541943</v>
      </c>
      <c r="BI41" s="11" t="n">
        <v>0.919207040115136</v>
      </c>
      <c r="BJ41" s="11" t="n">
        <v>0.918873249618085</v>
      </c>
      <c r="BK41" s="11" t="n">
        <v>0.919230350896805</v>
      </c>
      <c r="BL41" s="11" t="n">
        <v>0.920883946428701</v>
      </c>
      <c r="BM41" s="11" t="n">
        <v>0.922490033990392</v>
      </c>
      <c r="BN41" s="11" t="n">
        <v>4.4286116393422</v>
      </c>
      <c r="BO41" s="11" t="n">
        <v>4.56161101313601</v>
      </c>
      <c r="BP41" s="11" t="n">
        <v>4.58835848113574</v>
      </c>
      <c r="BQ41" s="11" t="n">
        <v>4.5872880381317</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0.887812092871217</v>
      </c>
      <c r="L42" s="11" t="n">
        <v>1.21268939746777</v>
      </c>
      <c r="M42" s="11" t="n">
        <v>1.67943437777013</v>
      </c>
      <c r="N42" s="11" t="n">
        <v>2.23766194274384</v>
      </c>
      <c r="O42" s="11" t="n">
        <v>2.85956892573193</v>
      </c>
      <c r="P42" s="11" t="n">
        <v>3.61885336113621</v>
      </c>
      <c r="Q42" s="11" t="n">
        <v>4.23695062254621</v>
      </c>
      <c r="R42" s="11" t="n">
        <v>4.90898918210383</v>
      </c>
      <c r="S42" s="11" t="n">
        <v>5.47172831627325</v>
      </c>
      <c r="T42" s="11" t="n">
        <v>6.02613382558142</v>
      </c>
      <c r="U42" s="11" t="n">
        <v>6.67512027321028</v>
      </c>
      <c r="V42" s="11" t="n">
        <v>7.09453468955329</v>
      </c>
      <c r="W42" s="11" t="n">
        <v>7.33427063376822</v>
      </c>
      <c r="X42" s="11" t="n">
        <v>7.65072094240051</v>
      </c>
      <c r="Y42" s="11" t="n">
        <v>7.98793642368175</v>
      </c>
      <c r="Z42" s="11" t="n">
        <v>8.37623700129879</v>
      </c>
      <c r="AA42" s="11" t="n">
        <v>8.67742513818832</v>
      </c>
      <c r="AB42" s="11" t="n">
        <v>8.67057952123833</v>
      </c>
      <c r="AC42" s="11" t="n">
        <v>8.22294685667956</v>
      </c>
      <c r="AD42" s="11" t="n">
        <v>8.01470776928503</v>
      </c>
      <c r="AE42" s="11" t="n">
        <v>7.72031091816046</v>
      </c>
      <c r="AF42" s="11" t="n">
        <v>7.31880276789089</v>
      </c>
      <c r="AG42" s="11" t="n">
        <v>6.95968164395597</v>
      </c>
      <c r="AH42" s="11" t="n">
        <v>6.39537361443029</v>
      </c>
      <c r="AI42" s="11" t="n">
        <v>5.70528179294859</v>
      </c>
      <c r="AJ42" s="11" t="n">
        <v>5.24401579865644</v>
      </c>
      <c r="AK42" s="11" t="n">
        <v>4.85465601130321</v>
      </c>
      <c r="AL42" s="11" t="n">
        <v>4.45096638460075</v>
      </c>
      <c r="AM42" s="11" t="n">
        <v>4.13587946738664</v>
      </c>
      <c r="AN42" s="11" t="n">
        <v>3.91082861365333</v>
      </c>
      <c r="AO42" s="11" t="n">
        <v>3.71356827885798</v>
      </c>
      <c r="AP42" s="11" t="n">
        <v>3.54141578366137</v>
      </c>
      <c r="AQ42" s="11" t="n">
        <v>3.397188073432</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2.83955931184937</v>
      </c>
      <c r="BG42" s="11" t="n">
        <v>2.88285737657756</v>
      </c>
      <c r="BH42" s="11" t="n">
        <v>2.93086885071256</v>
      </c>
      <c r="BI42" s="11" t="n">
        <v>2.97998034582683</v>
      </c>
      <c r="BJ42" s="11" t="n">
        <v>3.02803909746594</v>
      </c>
      <c r="BK42" s="11" t="n">
        <v>3.07319716267257</v>
      </c>
      <c r="BL42" s="11" t="n">
        <v>3.11529035542257</v>
      </c>
      <c r="BM42" s="11" t="n">
        <v>3.15658114223841</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114.803844775093</v>
      </c>
      <c r="AO46" s="11" t="n">
        <v>112.811147894444</v>
      </c>
      <c r="AP46" s="11" t="n">
        <v>110.2274149228</v>
      </c>
      <c r="AQ46" s="11" t="n">
        <v>106.087336509852</v>
      </c>
      <c r="AR46" s="11" t="n">
        <v>101.025553423099</v>
      </c>
      <c r="AS46" s="11" t="n">
        <v>94.8793781446222</v>
      </c>
      <c r="AT46" s="11" t="n">
        <v>89.2125137123285</v>
      </c>
      <c r="AU46" s="11" t="n">
        <v>83.9489940116705</v>
      </c>
      <c r="AV46" s="11" t="n">
        <v>79.3941272675261</v>
      </c>
      <c r="AW46" s="11" t="n">
        <v>75.322216912333</v>
      </c>
      <c r="AX46" s="11" t="n">
        <v>71.7607708069728</v>
      </c>
      <c r="AY46" s="11" t="n">
        <v>68.5226368545492</v>
      </c>
      <c r="AZ46" s="11" t="n">
        <v>65.6075584090056</v>
      </c>
      <c r="BA46" s="11" t="n">
        <v>63.0260302767619</v>
      </c>
      <c r="BB46" s="11" t="n">
        <v>60.8078754791271</v>
      </c>
      <c r="BC46" s="11" t="n">
        <v>58.77886775316</v>
      </c>
      <c r="BD46" s="11" t="n">
        <v>57.0666916895999</v>
      </c>
      <c r="BE46" s="11" t="n">
        <v>55.5519156380849</v>
      </c>
      <c r="BF46" s="11" t="n">
        <v>54.3645626428921</v>
      </c>
      <c r="BG46" s="11" t="n">
        <v>53.3228243690052</v>
      </c>
      <c r="BH46" s="11" t="n">
        <v>52.4375296623688</v>
      </c>
      <c r="BI46" s="11" t="n">
        <v>51.7556651408583</v>
      </c>
      <c r="BJ46" s="11" t="n">
        <v>51.1660081736203</v>
      </c>
      <c r="BK46" s="11" t="n">
        <v>50.8247570788312</v>
      </c>
      <c r="BL46" s="11" t="n">
        <v>50.478969464587</v>
      </c>
      <c r="BM46" s="11" t="n">
        <v>50.2091583424778</v>
      </c>
      <c r="BN46" s="11" t="n">
        <v>557.074929102282</v>
      </c>
      <c r="BO46" s="11" t="n">
        <v>475.153775801572</v>
      </c>
      <c r="BP46" s="11" t="n">
        <v>360.607310250387</v>
      </c>
      <c r="BQ46" s="11" t="n">
        <v>295.231380836734</v>
      </c>
    </row>
    <row r="47" customFormat="false" ht="13.8" hidden="false" customHeight="false" outlineLevel="0" collapsed="false">
      <c r="A47" s="11" t="s">
        <v>154</v>
      </c>
      <c r="B47" s="11" t="s">
        <v>146</v>
      </c>
      <c r="C47" s="11" t="s">
        <v>139</v>
      </c>
      <c r="D47" s="12"/>
      <c r="E47" s="11" t="n">
        <v>1.27297720515135</v>
      </c>
      <c r="F47" s="11" t="n">
        <v>1.25061064970842</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0.553564609166542</v>
      </c>
      <c r="R47" s="11" t="n">
        <v>0.490426598642273</v>
      </c>
      <c r="S47" s="11" t="n">
        <v>0.442652781387932</v>
      </c>
      <c r="T47" s="11" t="n">
        <v>0.405383013533054</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0.0747884074140275</v>
      </c>
      <c r="AJ47" s="11" t="n">
        <v>0.0810221488085114</v>
      </c>
      <c r="AK47" s="11" t="n">
        <v>0.0850575444875325</v>
      </c>
      <c r="AL47" s="11" t="n">
        <v>0.0856761920612092</v>
      </c>
      <c r="AM47" s="11" t="n">
        <v>0.0916319440299271</v>
      </c>
      <c r="AN47" s="11" t="n">
        <v>0.0909238834812083</v>
      </c>
      <c r="AO47" s="11" t="n">
        <v>0.0887888748526391</v>
      </c>
      <c r="AP47" s="11" t="n">
        <v>0.0874262487254367</v>
      </c>
      <c r="AQ47" s="11" t="n">
        <v>0.0851312548376823</v>
      </c>
      <c r="AR47" s="11" t="n">
        <v>0.081858100711131</v>
      </c>
      <c r="AS47" s="11" t="n">
        <v>0.0775048862631219</v>
      </c>
      <c r="AT47" s="11" t="n">
        <v>0.0735917300242014</v>
      </c>
      <c r="AU47" s="11" t="n">
        <v>0.0698454756786235</v>
      </c>
      <c r="AV47" s="11" t="n">
        <v>0.0662826676660975</v>
      </c>
      <c r="AW47" s="11" t="n">
        <v>0.0630154031288009</v>
      </c>
      <c r="AX47" s="11" t="n">
        <v>0.0600206024746092</v>
      </c>
      <c r="AY47" s="11" t="n">
        <v>0.0572504997085538</v>
      </c>
      <c r="AZ47" s="11" t="n">
        <v>0.0547511565255795</v>
      </c>
      <c r="BA47" s="11" t="n">
        <v>0.0525099283828194</v>
      </c>
      <c r="BB47" s="11" t="n">
        <v>0.050446012296545</v>
      </c>
      <c r="BC47" s="11" t="n">
        <v>0.0486294053477404</v>
      </c>
      <c r="BD47" s="11" t="n">
        <v>0.046946674406845</v>
      </c>
      <c r="BE47" s="11" t="n">
        <v>0.0455951182850117</v>
      </c>
      <c r="BF47" s="11" t="n">
        <v>0.0444129849786137</v>
      </c>
      <c r="BG47" s="11" t="n">
        <v>0.0434507906772212</v>
      </c>
      <c r="BH47" s="11" t="n">
        <v>0.042726959334557</v>
      </c>
      <c r="BI47" s="11" t="n">
        <v>0.0421928367134272</v>
      </c>
      <c r="BJ47" s="11" t="n">
        <v>0.0417281166004933</v>
      </c>
      <c r="BK47" s="11" t="n">
        <v>0.0413926114886641</v>
      </c>
      <c r="BL47" s="11" t="n">
        <v>0.0411639190085755</v>
      </c>
      <c r="BM47" s="11" t="n">
        <v>0.0410054104346384</v>
      </c>
      <c r="BN47" s="11" t="n">
        <v>0.44444714315042</v>
      </c>
      <c r="BO47" s="11" t="n">
        <v>0.38793144751476</v>
      </c>
      <c r="BP47" s="11" t="n">
        <v>0.301320329503641</v>
      </c>
      <c r="BQ47" s="11" t="n">
        <v>0.244127138718961</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0.890620745807166</v>
      </c>
      <c r="X48" s="11" t="n">
        <v>0.844914398363468</v>
      </c>
      <c r="Y48" s="11" t="n">
        <v>0.849296904955032</v>
      </c>
      <c r="Z48" s="11" t="n">
        <v>0.862456549136757</v>
      </c>
      <c r="AA48" s="11" t="n">
        <v>0.877239206896131</v>
      </c>
      <c r="AB48" s="11" t="n">
        <v>0.894622354167945</v>
      </c>
      <c r="AC48" s="11" t="n">
        <v>0.934204816450957</v>
      </c>
      <c r="AD48" s="11" t="n">
        <v>0.949799549113104</v>
      </c>
      <c r="AE48" s="11" t="n">
        <v>0.987987362907361</v>
      </c>
      <c r="AF48" s="11" t="n">
        <v>1.00785908615541</v>
      </c>
      <c r="AG48" s="11" t="n">
        <v>1.01707539544984</v>
      </c>
      <c r="AH48" s="11" t="n">
        <v>0.991684737617365</v>
      </c>
      <c r="AI48" s="11" t="n">
        <v>0.871004562768477</v>
      </c>
      <c r="AJ48" s="11" t="n">
        <v>0.922070495488821</v>
      </c>
      <c r="AK48" s="11" t="n">
        <v>0.917810058079545</v>
      </c>
      <c r="AL48" s="11" t="n">
        <v>0.895428540077311</v>
      </c>
      <c r="AM48" s="11" t="n">
        <v>0.962369082226078</v>
      </c>
      <c r="AN48" s="11" t="n">
        <v>0.957911571804564</v>
      </c>
      <c r="AO48" s="11" t="n">
        <v>0.940757158507534</v>
      </c>
      <c r="AP48" s="11" t="n">
        <v>0.921699692762558</v>
      </c>
      <c r="AQ48" s="11" t="n">
        <v>0.897970926336468</v>
      </c>
      <c r="AR48" s="11" t="n">
        <v>0.869621715168378</v>
      </c>
      <c r="AS48" s="11" t="n">
        <v>0.837997236976775</v>
      </c>
      <c r="AT48" s="11" t="n">
        <v>0.810385982013004</v>
      </c>
      <c r="AU48" s="11" t="n">
        <v>0.78539397090322</v>
      </c>
      <c r="AV48" s="11" t="n">
        <v>0.763067733559385</v>
      </c>
      <c r="AW48" s="11" t="n">
        <v>0.744533929598626</v>
      </c>
      <c r="AX48" s="11" t="n">
        <v>0.729328954259074</v>
      </c>
      <c r="AY48" s="11" t="n">
        <v>0.716680150975801</v>
      </c>
      <c r="AZ48" s="11" t="n">
        <v>0.706057384898829</v>
      </c>
      <c r="BA48" s="11" t="n">
        <v>0.697715876318007</v>
      </c>
      <c r="BB48" s="11" t="n">
        <v>0.691227022196209</v>
      </c>
      <c r="BC48" s="11" t="n">
        <v>0.686078904580376</v>
      </c>
      <c r="BD48" s="11" t="n">
        <v>0.680595948009976</v>
      </c>
      <c r="BE48" s="11" t="n">
        <v>0.676699361152787</v>
      </c>
      <c r="BF48" s="11" t="n">
        <v>0.673599162552212</v>
      </c>
      <c r="BG48" s="11" t="n">
        <v>0.671729263161098</v>
      </c>
      <c r="BH48" s="11" t="n">
        <v>0.670714492032542</v>
      </c>
      <c r="BI48" s="11" t="n">
        <v>0.670506165237318</v>
      </c>
      <c r="BJ48" s="11" t="n">
        <v>0.670469631809614</v>
      </c>
      <c r="BK48" s="11" t="n">
        <v>0.67135823069627</v>
      </c>
      <c r="BL48" s="11" t="n">
        <v>0.673041141607711</v>
      </c>
      <c r="BM48" s="11" t="n">
        <v>0.674451196906563</v>
      </c>
      <c r="BN48" s="11" t="n">
        <v>4.67816604537805</v>
      </c>
      <c r="BO48" s="11" t="n">
        <v>4.20136983139785</v>
      </c>
      <c r="BP48" s="11" t="n">
        <v>3.65966815329172</v>
      </c>
      <c r="BQ48" s="11" t="n">
        <v>3.43231711225735</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0.00758704295400535</v>
      </c>
      <c r="I49" s="11" t="n">
        <v>0.0191457948826393</v>
      </c>
      <c r="J49" s="11" t="n">
        <v>0.0440129237321048</v>
      </c>
      <c r="K49" s="11" t="n">
        <v>0.0831984283549992</v>
      </c>
      <c r="L49" s="11" t="n">
        <v>0.134713168733324</v>
      </c>
      <c r="M49" s="11" t="n">
        <v>0.197418800105337</v>
      </c>
      <c r="N49" s="11" t="n">
        <v>0.270937175183438</v>
      </c>
      <c r="O49" s="11" t="n">
        <v>0.35528562086966</v>
      </c>
      <c r="P49" s="11" t="n">
        <v>0.448308759564938</v>
      </c>
      <c r="Q49" s="11" t="n">
        <v>0.546724386901232</v>
      </c>
      <c r="R49" s="11" t="n">
        <v>0.654719622747928</v>
      </c>
      <c r="S49" s="11" t="n">
        <v>0.770609828397742</v>
      </c>
      <c r="T49" s="11" t="n">
        <v>0.892033502650137</v>
      </c>
      <c r="U49" s="11" t="n">
        <v>1.02536768411097</v>
      </c>
      <c r="V49" s="11" t="n">
        <v>1.14915773447392</v>
      </c>
      <c r="W49" s="11" t="n">
        <v>1.26245622236332</v>
      </c>
      <c r="X49" s="11" t="n">
        <v>1.36457098844073</v>
      </c>
      <c r="Y49" s="11" t="n">
        <v>1.46641832911833</v>
      </c>
      <c r="Z49" s="11" t="n">
        <v>1.56361602612155</v>
      </c>
      <c r="AA49" s="11" t="n">
        <v>1.6562995095492</v>
      </c>
      <c r="AB49" s="11" t="n">
        <v>1.74334686161733</v>
      </c>
      <c r="AC49" s="11" t="n">
        <v>1.81859099804214</v>
      </c>
      <c r="AD49" s="11" t="n">
        <v>1.87431155708176</v>
      </c>
      <c r="AE49" s="11" t="n">
        <v>1.90597752814992</v>
      </c>
      <c r="AF49" s="11" t="n">
        <v>1.89620238264926</v>
      </c>
      <c r="AG49" s="11" t="n">
        <v>1.85777666435984</v>
      </c>
      <c r="AH49" s="11" t="n">
        <v>1.80208979252265</v>
      </c>
      <c r="AI49" s="11" t="n">
        <v>1.73121633411536</v>
      </c>
      <c r="AJ49" s="11" t="n">
        <v>1.65076911278086</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0.568631066193109</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37.8563107926445</v>
      </c>
      <c r="AN53" s="11" t="n">
        <v>27.9245774875297</v>
      </c>
      <c r="AO53" s="11" t="n">
        <v>29.0945485610074</v>
      </c>
      <c r="AP53" s="11" t="n">
        <v>24.3345389186412</v>
      </c>
      <c r="AQ53" s="11" t="n">
        <v>23.1565961999487</v>
      </c>
      <c r="AR53" s="11" t="n">
        <v>23.6390248108009</v>
      </c>
      <c r="AS53" s="11" t="n">
        <v>25.9583031040192</v>
      </c>
      <c r="AT53" s="11" t="n">
        <v>26.8816494742707</v>
      </c>
      <c r="AU53" s="11" t="n">
        <v>28.4670165875868</v>
      </c>
      <c r="AV53" s="11" t="n">
        <v>30.5940926093561</v>
      </c>
      <c r="AW53" s="11" t="n">
        <v>33.095868602445</v>
      </c>
      <c r="AX53" s="11" t="n">
        <v>35.2274599412739</v>
      </c>
      <c r="AY53" s="11" t="n">
        <v>35.0061150255179</v>
      </c>
      <c r="AZ53" s="11" t="n">
        <v>35.0996956733754</v>
      </c>
      <c r="BA53" s="11" t="n">
        <v>35.3338819799251</v>
      </c>
      <c r="BB53" s="11" t="n">
        <v>35.6747183833943</v>
      </c>
      <c r="BC53" s="11" t="n">
        <v>35.8805169931754</v>
      </c>
      <c r="BD53" s="11" t="n">
        <v>37.0862868441115</v>
      </c>
      <c r="BE53" s="11" t="n">
        <v>38.5516343861806</v>
      </c>
      <c r="BF53" s="11" t="n">
        <v>39.740820300771</v>
      </c>
      <c r="BG53" s="11" t="n">
        <v>40.9328763098299</v>
      </c>
      <c r="BH53" s="11" t="n">
        <v>41.6406212160348</v>
      </c>
      <c r="BI53" s="11" t="n">
        <v>42.4147909657214</v>
      </c>
      <c r="BJ53" s="11" t="n">
        <v>43.2740351994287</v>
      </c>
      <c r="BK53" s="11" t="n">
        <v>44.9468118524763</v>
      </c>
      <c r="BL53" s="11" t="n">
        <v>45.3413826211698</v>
      </c>
      <c r="BM53" s="11" t="n">
        <v>46.681135635565</v>
      </c>
      <c r="BN53" s="11" t="n">
        <v>162.540876811017</v>
      </c>
      <c r="BO53" s="11" t="n">
        <v>128.102590176626</v>
      </c>
      <c r="BP53" s="11" t="n">
        <v>169.023231851968</v>
      </c>
      <c r="BQ53" s="11" t="n">
        <v>182.527038586787</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0.0709247278374883</v>
      </c>
      <c r="I54" s="11" t="n">
        <v>0.0742130274626892</v>
      </c>
      <c r="J54" s="11" t="n">
        <v>0.0748808413651573</v>
      </c>
      <c r="K54" s="11" t="n">
        <v>0.0758501153320661</v>
      </c>
      <c r="L54" s="11" t="n">
        <v>0.0732454613383986</v>
      </c>
      <c r="M54" s="11" t="n">
        <v>0.0774811747973583</v>
      </c>
      <c r="N54" s="11" t="n">
        <v>0.0793672420704025</v>
      </c>
      <c r="O54" s="11" t="n">
        <v>0.0846894349742251</v>
      </c>
      <c r="P54" s="11" t="n">
        <v>0.0917537201635203</v>
      </c>
      <c r="Q54" s="11" t="n">
        <v>0.0907429907796952</v>
      </c>
      <c r="R54" s="11" t="n">
        <v>0.0941428339572569</v>
      </c>
      <c r="S54" s="11" t="n">
        <v>0.0957489905159301</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0.211350425583012</v>
      </c>
      <c r="AE54" s="11" t="n">
        <v>0.220751805792713</v>
      </c>
      <c r="AF54" s="11" t="n">
        <v>0.222246360185227</v>
      </c>
      <c r="AG54" s="11" t="n">
        <v>0.249516926143695</v>
      </c>
      <c r="AH54" s="11" t="n">
        <v>0.272413021693873</v>
      </c>
      <c r="AI54" s="11" t="n">
        <v>0.274611055142342</v>
      </c>
      <c r="AJ54" s="11" t="n">
        <v>0.29493541718883</v>
      </c>
      <c r="AK54" s="11" t="n">
        <v>0.268806108474927</v>
      </c>
      <c r="AL54" s="11" t="n">
        <v>0.261550530209526</v>
      </c>
      <c r="AM54" s="11" t="n">
        <v>0.37970982641791</v>
      </c>
      <c r="AN54" s="11" t="n">
        <v>0.375029054957071</v>
      </c>
      <c r="AO54" s="11" t="n">
        <v>0.36517978599085</v>
      </c>
      <c r="AP54" s="11" t="n">
        <v>0.332876709518982</v>
      </c>
      <c r="AQ54" s="11" t="n">
        <v>0.237597029238334</v>
      </c>
      <c r="AR54" s="11" t="n">
        <v>0.230746195613216</v>
      </c>
      <c r="AS54" s="11" t="n">
        <v>0.227667305364979</v>
      </c>
      <c r="AT54" s="11" t="n">
        <v>0.226257634597</v>
      </c>
      <c r="AU54" s="11" t="n">
        <v>0.18372871820177</v>
      </c>
      <c r="AV54" s="11" t="n">
        <v>0.185228531138827</v>
      </c>
      <c r="AW54" s="11" t="n">
        <v>0.185788619872661</v>
      </c>
      <c r="AX54" s="11" t="n">
        <v>0.163072931071892</v>
      </c>
      <c r="AY54" s="11" t="n">
        <v>0.157909534319341</v>
      </c>
      <c r="AZ54" s="11" t="n">
        <v>0.15327899819946</v>
      </c>
      <c r="BA54" s="11" t="n">
        <v>0.152300382452467</v>
      </c>
      <c r="BB54" s="11" t="n">
        <v>0.13912772794425</v>
      </c>
      <c r="BC54" s="11" t="n">
        <v>0.139643379171304</v>
      </c>
      <c r="BD54" s="11" t="n">
        <v>0.140687298537183</v>
      </c>
      <c r="BE54" s="11" t="n">
        <v>0.141734083105832</v>
      </c>
      <c r="BF54" s="11" t="n">
        <v>0.142608542998672</v>
      </c>
      <c r="BG54" s="11" t="n">
        <v>0.143316266503817</v>
      </c>
      <c r="BH54" s="11" t="n">
        <v>0.144211662086896</v>
      </c>
      <c r="BI54" s="11" t="n">
        <v>0.144791989815263</v>
      </c>
      <c r="BJ54" s="11" t="n">
        <v>0.145530832072135</v>
      </c>
      <c r="BK54" s="11" t="n">
        <v>0.146772687353122</v>
      </c>
      <c r="BL54" s="11" t="n">
        <v>0.147471785941997</v>
      </c>
      <c r="BM54" s="11" t="n">
        <v>0.14866339097292</v>
      </c>
      <c r="BN54" s="11" t="n">
        <v>1.71434590709434</v>
      </c>
      <c r="BO54" s="11" t="n">
        <v>1.1059968830153</v>
      </c>
      <c r="BP54" s="11" t="n">
        <v>0.845278614602181</v>
      </c>
      <c r="BQ54" s="11" t="n">
        <v>0.713492871211034</v>
      </c>
    </row>
    <row r="55" customFormat="false" ht="13.8" hidden="false" customHeight="false" outlineLevel="0" collapsed="false">
      <c r="A55" s="11" t="s">
        <v>155</v>
      </c>
      <c r="B55" s="11" t="s">
        <v>147</v>
      </c>
      <c r="C55" s="11" t="s">
        <v>139</v>
      </c>
      <c r="D55" s="12"/>
      <c r="E55" s="11" t="n">
        <v>0.984987691558184</v>
      </c>
      <c r="F55" s="11" t="n">
        <v>0.970048388417934</v>
      </c>
      <c r="G55" s="11" t="n">
        <v>0.910617933265949</v>
      </c>
      <c r="H55" s="11" t="n">
        <v>0.771978697012649</v>
      </c>
      <c r="I55" s="11" t="n">
        <v>0.737321268443208</v>
      </c>
      <c r="J55" s="11" t="n">
        <v>0.709397209019641</v>
      </c>
      <c r="K55" s="11" t="n">
        <v>0.6612887889585</v>
      </c>
      <c r="L55" s="11" t="n">
        <v>0.568914048515287</v>
      </c>
      <c r="M55" s="11" t="n">
        <v>0.586389592586241</v>
      </c>
      <c r="N55" s="11" t="n">
        <v>0.513498687002719</v>
      </c>
      <c r="O55" s="11" t="n">
        <v>0.574804572248271</v>
      </c>
      <c r="P55" s="11" t="n">
        <v>0.632355500344122</v>
      </c>
      <c r="Q55" s="11" t="n">
        <v>0.597481798965218</v>
      </c>
      <c r="R55" s="11" t="n">
        <v>0.652412845375287</v>
      </c>
      <c r="S55" s="11" t="n">
        <v>0.634687425943724</v>
      </c>
      <c r="T55" s="11" t="n">
        <v>0.672744029106066</v>
      </c>
      <c r="U55" s="11" t="n">
        <v>0.726225392133559</v>
      </c>
      <c r="V55" s="11" t="n">
        <v>0.673849210882455</v>
      </c>
      <c r="W55" s="11" t="n">
        <v>0.637459708292023</v>
      </c>
      <c r="X55" s="11" t="n">
        <v>0.548443507955348</v>
      </c>
      <c r="Y55" s="11" t="n">
        <v>0.577056570762781</v>
      </c>
      <c r="Z55" s="11" t="n">
        <v>0.580114063030645</v>
      </c>
      <c r="AA55" s="11" t="n">
        <v>0.739849019698221</v>
      </c>
      <c r="AB55" s="11" t="n">
        <v>0.714748016401048</v>
      </c>
      <c r="AC55" s="11" t="n">
        <v>0.62046564927776</v>
      </c>
      <c r="AD55" s="11" t="n">
        <v>0.568838988121384</v>
      </c>
      <c r="AE55" s="11" t="n">
        <v>0.39786726674901</v>
      </c>
      <c r="AF55" s="11" t="n">
        <v>0.365313374041686</v>
      </c>
      <c r="AG55" s="11" t="n">
        <v>0.377926428764218</v>
      </c>
      <c r="AH55" s="11" t="n">
        <v>0.368168520875392</v>
      </c>
      <c r="AI55" s="11" t="n">
        <v>0.365816544629617</v>
      </c>
      <c r="AJ55" s="11" t="n">
        <v>0.393674218221008</v>
      </c>
      <c r="AK55" s="11" t="n">
        <v>0.35714368175873</v>
      </c>
      <c r="AL55" s="11" t="n">
        <v>0.341045187738303</v>
      </c>
      <c r="AM55" s="11" t="n">
        <v>0.486334882072618</v>
      </c>
      <c r="AN55" s="11" t="n">
        <v>0.471239443246318</v>
      </c>
      <c r="AO55" s="11" t="n">
        <v>0.458640248101989</v>
      </c>
      <c r="AP55" s="11" t="n">
        <v>0.418660561181873</v>
      </c>
      <c r="AQ55" s="11" t="n">
        <v>0.299017416671135</v>
      </c>
      <c r="AR55" s="11" t="n">
        <v>0.290068784865022</v>
      </c>
      <c r="AS55" s="11" t="n">
        <v>0.285799820401923</v>
      </c>
      <c r="AT55" s="11" t="n">
        <v>0.283858028915804</v>
      </c>
      <c r="AU55" s="11" t="n">
        <v>0.229986170151172</v>
      </c>
      <c r="AV55" s="11" t="n">
        <v>0.231508439822963</v>
      </c>
      <c r="AW55" s="11" t="n">
        <v>0.231810035087975</v>
      </c>
      <c r="AX55" s="11" t="n">
        <v>0.202829263722465</v>
      </c>
      <c r="AY55" s="11" t="n">
        <v>0.196340307443276</v>
      </c>
      <c r="AZ55" s="11" t="n">
        <v>0.190472750594651</v>
      </c>
      <c r="BA55" s="11" t="n">
        <v>0.189143686040007</v>
      </c>
      <c r="BB55" s="11" t="n">
        <v>0.17235335682728</v>
      </c>
      <c r="BC55" s="11" t="n">
        <v>0.172926873963084</v>
      </c>
      <c r="BD55" s="11" t="n">
        <v>0.174040946286011</v>
      </c>
      <c r="BE55" s="11" t="n">
        <v>0.175106614145718</v>
      </c>
      <c r="BF55" s="11" t="n">
        <v>0.175992443049527</v>
      </c>
      <c r="BG55" s="11" t="n">
        <v>0.176594369412417</v>
      </c>
      <c r="BH55" s="11" t="n">
        <v>0.177397608314165</v>
      </c>
      <c r="BI55" s="11" t="n">
        <v>0.178040660157021</v>
      </c>
      <c r="BJ55" s="11" t="n">
        <v>0.178817818043106</v>
      </c>
      <c r="BK55" s="11" t="n">
        <v>0.180097481163842</v>
      </c>
      <c r="BL55" s="11" t="n">
        <v>0.180779520335322</v>
      </c>
      <c r="BM55" s="11" t="n">
        <v>0.181921831481715</v>
      </c>
      <c r="BN55" s="11" t="n">
        <v>2.1759203223411</v>
      </c>
      <c r="BO55" s="11" t="n">
        <v>1.38873022100506</v>
      </c>
      <c r="BP55" s="11" t="n">
        <v>1.05296079667133</v>
      </c>
      <c r="BQ55" s="11" t="n">
        <v>0.8835714772621</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25.434364937729</v>
      </c>
      <c r="AO60" s="11" t="n">
        <v>24.548873049863</v>
      </c>
      <c r="AP60" s="11" t="n">
        <v>23.9434049089472</v>
      </c>
      <c r="AQ60" s="11" t="n">
        <v>23.0856541444647</v>
      </c>
      <c r="AR60" s="11" t="n">
        <v>22.2350192747797</v>
      </c>
      <c r="AS60" s="11" t="n">
        <v>20.979955963437</v>
      </c>
      <c r="AT60" s="11" t="n">
        <v>19.6754050391942</v>
      </c>
      <c r="AU60" s="11" t="n">
        <v>18.9189093655682</v>
      </c>
      <c r="AV60" s="11" t="n">
        <v>17.9192526502519</v>
      </c>
      <c r="AW60" s="11" t="n">
        <v>17.4885959475602</v>
      </c>
      <c r="AX60" s="11" t="n">
        <v>17.0628205386338</v>
      </c>
      <c r="AY60" s="11" t="n">
        <v>15.1365605780682</v>
      </c>
      <c r="AZ60" s="11" t="n">
        <v>14.7617168267388</v>
      </c>
      <c r="BA60" s="11" t="n">
        <v>14.2283870933829</v>
      </c>
      <c r="BB60" s="11" t="n">
        <v>13.4591832735974</v>
      </c>
      <c r="BC60" s="11" t="n">
        <v>13.1142478743605</v>
      </c>
      <c r="BD60" s="11" t="n">
        <v>11.9136315548913</v>
      </c>
      <c r="BE60" s="11" t="n">
        <v>11.1492705680146</v>
      </c>
      <c r="BF60" s="11" t="n">
        <v>10.8373870901984</v>
      </c>
      <c r="BG60" s="11" t="n">
        <v>10.766781891167</v>
      </c>
      <c r="BH60" s="11" t="n">
        <v>10.6901667471821</v>
      </c>
      <c r="BI60" s="11" t="n">
        <v>10.6388055040849</v>
      </c>
      <c r="BJ60" s="11" t="n">
        <v>10.5733358049238</v>
      </c>
      <c r="BK60" s="11" t="n">
        <v>10.3061342707195</v>
      </c>
      <c r="BL60" s="11" t="n">
        <v>9.91358307950163</v>
      </c>
      <c r="BM60" s="11" t="n">
        <v>9.74058527455615</v>
      </c>
      <c r="BN60" s="11" t="n">
        <v>124.937503359782</v>
      </c>
      <c r="BO60" s="11" t="n">
        <v>104.894943787444</v>
      </c>
      <c r="BP60" s="11" t="n">
        <v>82.3689465412529</v>
      </c>
      <c r="BQ60" s="11" t="n">
        <v>63.8647203642468</v>
      </c>
    </row>
    <row r="61" customFormat="false" ht="13.8" hidden="false" customHeight="false" outlineLevel="0" collapsed="false">
      <c r="A61" s="11" t="s">
        <v>154</v>
      </c>
      <c r="B61" s="11" t="s">
        <v>148</v>
      </c>
      <c r="C61" s="11" t="s">
        <v>139</v>
      </c>
      <c r="D61" s="12"/>
      <c r="E61" s="11" t="n">
        <v>38.4113671371213</v>
      </c>
      <c r="F61" s="11" t="n">
        <v>38.8552949596067</v>
      </c>
      <c r="G61" s="11" t="n">
        <v>38.5388169594932</v>
      </c>
      <c r="H61" s="11" t="n">
        <v>36.3124596311372</v>
      </c>
      <c r="I61" s="11" t="n">
        <v>28.232131676279</v>
      </c>
      <c r="J61" s="11" t="n">
        <v>29.6414159904183</v>
      </c>
      <c r="K61" s="11" t="n">
        <v>27.8829795223238</v>
      </c>
      <c r="L61" s="11" t="n">
        <v>25.7455049253289</v>
      </c>
      <c r="M61" s="11" t="n">
        <v>23.2122609443943</v>
      </c>
      <c r="N61" s="11" t="n">
        <v>20.3132652404912</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10.4437304627497</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6.1985245851059</v>
      </c>
      <c r="AH61" s="11" t="n">
        <v>6.23642575869865</v>
      </c>
      <c r="AI61" s="11" t="n">
        <v>5.73448917987444</v>
      </c>
      <c r="AJ61" s="11" t="n">
        <v>5.38414606680817</v>
      </c>
      <c r="AK61" s="11" t="n">
        <v>5.0278931495823</v>
      </c>
      <c r="AL61" s="11" t="n">
        <v>4.74375700324067</v>
      </c>
      <c r="AM61" s="11" t="n">
        <v>4.67597743631238</v>
      </c>
      <c r="AN61" s="11" t="n">
        <v>4.61683139113438</v>
      </c>
      <c r="AO61" s="11" t="n">
        <v>4.523095808863</v>
      </c>
      <c r="AP61" s="11" t="n">
        <v>4.44019569916281</v>
      </c>
      <c r="AQ61" s="11" t="n">
        <v>4.34678162161408</v>
      </c>
      <c r="AR61" s="11" t="n">
        <v>4.27770256253825</v>
      </c>
      <c r="AS61" s="11" t="n">
        <v>4.17192457262428</v>
      </c>
      <c r="AT61" s="11" t="n">
        <v>4.0937963137643</v>
      </c>
      <c r="AU61" s="11" t="n">
        <v>4.01171150512806</v>
      </c>
      <c r="AV61" s="11" t="n">
        <v>3.93047143149978</v>
      </c>
      <c r="AW61" s="11" t="n">
        <v>3.92052191321936</v>
      </c>
      <c r="AX61" s="11" t="n">
        <v>3.91243269662616</v>
      </c>
      <c r="AY61" s="11" t="n">
        <v>3.85391601600949</v>
      </c>
      <c r="AZ61" s="11" t="n">
        <v>3.80658970417664</v>
      </c>
      <c r="BA61" s="11" t="n">
        <v>3.80293904896927</v>
      </c>
      <c r="BB61" s="11" t="n">
        <v>3.78490324399914</v>
      </c>
      <c r="BC61" s="11" t="n">
        <v>3.77777931536866</v>
      </c>
      <c r="BD61" s="11" t="n">
        <v>3.71711730764552</v>
      </c>
      <c r="BE61" s="11" t="n">
        <v>3.67897737093673</v>
      </c>
      <c r="BF61" s="11" t="n">
        <v>3.67122739368534</v>
      </c>
      <c r="BG61" s="11" t="n">
        <v>3.66764132655931</v>
      </c>
      <c r="BH61" s="11" t="n">
        <v>3.66341326724337</v>
      </c>
      <c r="BI61" s="11" t="n">
        <v>3.66050300460143</v>
      </c>
      <c r="BJ61" s="11" t="n">
        <v>3.64876310552486</v>
      </c>
      <c r="BK61" s="11" t="n">
        <v>3.63570090767243</v>
      </c>
      <c r="BL61" s="11" t="n">
        <v>3.62212479206137</v>
      </c>
      <c r="BM61" s="11" t="n">
        <v>3.61544496862694</v>
      </c>
      <c r="BN61" s="11" t="n">
        <v>22.9998573387132</v>
      </c>
      <c r="BO61" s="11" t="n">
        <v>20.901916575669</v>
      </c>
      <c r="BP61" s="11" t="n">
        <v>19.4239317615314</v>
      </c>
      <c r="BQ61" s="11" t="n">
        <v>18.7617162869193</v>
      </c>
    </row>
    <row r="62" customFormat="false" ht="13.8" hidden="false" customHeight="false" outlineLevel="0" collapsed="false">
      <c r="A62" s="11" t="s">
        <v>155</v>
      </c>
      <c r="B62" s="11" t="s">
        <v>148</v>
      </c>
      <c r="C62" s="11" t="s">
        <v>139</v>
      </c>
      <c r="D62" s="12"/>
      <c r="E62" s="11" t="n">
        <v>0.327529834632892</v>
      </c>
      <c r="F62" s="11" t="n">
        <v>0.328440613603457</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v>
      </c>
      <c r="W62" s="11" t="n">
        <v>0.379880436716057</v>
      </c>
      <c r="X62" s="11" t="n">
        <v>0.37277068789526</v>
      </c>
      <c r="Y62" s="11" t="n">
        <v>0.365140849631604</v>
      </c>
      <c r="Z62" s="11" t="n">
        <v>0.342415857790606</v>
      </c>
      <c r="AA62" s="11" t="n">
        <v>0.315708552441489</v>
      </c>
      <c r="AB62" s="11" t="n">
        <v>0.305020823964381</v>
      </c>
      <c r="AC62" s="11" t="n">
        <v>0.299790969640709</v>
      </c>
      <c r="AD62" s="11" t="n">
        <v>0.320768095937011</v>
      </c>
      <c r="AE62" s="11" t="n">
        <v>0.322075958204864</v>
      </c>
      <c r="AF62" s="11" t="n">
        <v>0.311959670394575</v>
      </c>
      <c r="AG62" s="11" t="n">
        <v>0.309251429820355</v>
      </c>
      <c r="AH62" s="11" t="n">
        <v>0.315565079233617</v>
      </c>
      <c r="AI62" s="11" t="n">
        <v>0.301940140392352</v>
      </c>
      <c r="AJ62" s="11" t="n">
        <v>0.258278891681824</v>
      </c>
      <c r="AK62" s="11" t="n">
        <v>0.242181704439128</v>
      </c>
      <c r="AL62" s="11" t="n">
        <v>0.236275707145654</v>
      </c>
      <c r="AM62" s="11" t="n">
        <v>0.308341110741022</v>
      </c>
      <c r="AN62" s="11" t="n">
        <v>0.290743310864739</v>
      </c>
      <c r="AO62" s="11" t="n">
        <v>0.282225444101057</v>
      </c>
      <c r="AP62" s="11" t="n">
        <v>0.270786455203258</v>
      </c>
      <c r="AQ62" s="11" t="n">
        <v>0.263207779586381</v>
      </c>
      <c r="AR62" s="11" t="n">
        <v>0.25301755920243</v>
      </c>
      <c r="AS62" s="11" t="n">
        <v>0.243173003006173</v>
      </c>
      <c r="AT62" s="11" t="n">
        <v>0.23015325023901</v>
      </c>
      <c r="AU62" s="11" t="n">
        <v>0.21292939892984</v>
      </c>
      <c r="AV62" s="11" t="n">
        <v>0.195294277171587</v>
      </c>
      <c r="AW62" s="11" t="n">
        <v>0.193577310049133</v>
      </c>
      <c r="AX62" s="11" t="n">
        <v>0.191002768434863</v>
      </c>
      <c r="AY62" s="11" t="n">
        <v>0.1706310589851</v>
      </c>
      <c r="AZ62" s="11" t="n">
        <v>0.0755181502830833</v>
      </c>
      <c r="BA62" s="11" t="n">
        <v>0.075245978186925</v>
      </c>
      <c r="BB62" s="11" t="n">
        <v>0.0662810227088657</v>
      </c>
      <c r="BC62" s="11" t="n">
        <v>0.0658147843931271</v>
      </c>
      <c r="BD62" s="11" t="n">
        <v>0.044968921465672</v>
      </c>
      <c r="BE62" s="11" t="n">
        <v>0.0352347577380416</v>
      </c>
      <c r="BF62" s="11" t="n">
        <v>0.0351672331061924</v>
      </c>
      <c r="BG62" s="11" t="n">
        <v>0.0350512040104887</v>
      </c>
      <c r="BH62" s="11" t="n">
        <v>0.0314061599018978</v>
      </c>
      <c r="BI62" s="11" t="n">
        <v>0.031508028333025</v>
      </c>
      <c r="BJ62" s="11" t="n">
        <v>0.0304489247991545</v>
      </c>
      <c r="BK62" s="11" t="n">
        <v>0.0246934637400745</v>
      </c>
      <c r="BL62" s="11" t="n">
        <v>0.0200482959257806</v>
      </c>
      <c r="BM62" s="11" t="n">
        <v>0.0174211070538194</v>
      </c>
      <c r="BN62" s="11" t="n">
        <v>1.38837202805573</v>
      </c>
      <c r="BO62" s="11" t="n">
        <v>1.20248099096383</v>
      </c>
      <c r="BP62" s="11" t="n">
        <v>0.826023564923766</v>
      </c>
      <c r="BQ62" s="11" t="n">
        <v>0.287545464492631</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42.7507635540939</v>
      </c>
      <c r="AO67" s="11" t="n">
        <v>42.8044022924069</v>
      </c>
      <c r="AP67" s="11" t="n">
        <v>42.8466229017644</v>
      </c>
      <c r="AQ67" s="11" t="n">
        <v>41.8897239865406</v>
      </c>
      <c r="AR67" s="11" t="n">
        <v>42.1602366039832</v>
      </c>
      <c r="AS67" s="11" t="n">
        <v>41.1318289784734</v>
      </c>
      <c r="AT67" s="11" t="n">
        <v>41.0518607600423</v>
      </c>
      <c r="AU67" s="11" t="n">
        <v>40.687426353383</v>
      </c>
      <c r="AV67" s="11" t="n">
        <v>39.9708469248789</v>
      </c>
      <c r="AW67" s="11" t="n">
        <v>39.4392837790889</v>
      </c>
      <c r="AX67" s="11" t="n">
        <v>39.2314623612126</v>
      </c>
      <c r="AY67" s="11" t="n">
        <v>38.6148866244009</v>
      </c>
      <c r="AZ67" s="11" t="n">
        <v>37.8322104319679</v>
      </c>
      <c r="BA67" s="11" t="n">
        <v>37.6572048114008</v>
      </c>
      <c r="BB67" s="11" t="n">
        <v>37.688336646752</v>
      </c>
      <c r="BC67" s="11" t="n">
        <v>37.4017852537573</v>
      </c>
      <c r="BD67" s="11" t="n">
        <v>37.8702317293386</v>
      </c>
      <c r="BE67" s="11" t="n">
        <v>38.392429095249</v>
      </c>
      <c r="BF67" s="11" t="n">
        <v>38.3007413081186</v>
      </c>
      <c r="BG67" s="11" t="n">
        <v>37.9738437532476</v>
      </c>
      <c r="BH67" s="11" t="n">
        <v>37.4835405488616</v>
      </c>
      <c r="BI67" s="11" t="n">
        <v>36.9652537304705</v>
      </c>
      <c r="BJ67" s="11" t="n">
        <v>36.2207082630601</v>
      </c>
      <c r="BK67" s="11" t="n">
        <v>36.4056406076695</v>
      </c>
      <c r="BL67" s="11" t="n">
        <v>35.2385135124258</v>
      </c>
      <c r="BM67" s="11" t="n">
        <v>34.6523917218205</v>
      </c>
      <c r="BN67" s="11" t="n">
        <v>209.465088371389</v>
      </c>
      <c r="BO67" s="11" t="n">
        <v>206.921076682422</v>
      </c>
      <c r="BP67" s="11" t="n">
        <v>195.088690121549</v>
      </c>
      <c r="BQ67" s="11" t="n">
        <v>189.009987536498</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0.00478137412635384</v>
      </c>
      <c r="AO68" s="11" t="n">
        <v>0.00476635834220159</v>
      </c>
      <c r="AP68" s="11" t="n">
        <v>0.00474627794322422</v>
      </c>
      <c r="AQ68" s="11" t="n">
        <v>0.00465545474291099</v>
      </c>
      <c r="AR68" s="11" t="n">
        <v>0.00465672156489841</v>
      </c>
      <c r="AS68" s="11" t="n">
        <v>0.00456220948071789</v>
      </c>
      <c r="AT68" s="11" t="n">
        <v>0.0045382028784724</v>
      </c>
      <c r="AU68" s="11" t="n">
        <v>0.00449570218158978</v>
      </c>
      <c r="AV68" s="11" t="n">
        <v>0.0044252743752476</v>
      </c>
      <c r="AW68" s="11" t="n">
        <v>0.0043681968110305</v>
      </c>
      <c r="AX68" s="11" t="n">
        <v>0.00434008368095937</v>
      </c>
      <c r="AY68" s="11" t="n">
        <v>0.00428731179147092</v>
      </c>
      <c r="AZ68" s="11" t="n">
        <v>0.00422271263955403</v>
      </c>
      <c r="BA68" s="11" t="n">
        <v>0.00419602603393564</v>
      </c>
      <c r="BB68" s="11" t="n">
        <v>0.00418784211865865</v>
      </c>
      <c r="BC68" s="11" t="n">
        <v>0.00415232533199418</v>
      </c>
      <c r="BD68" s="11" t="n">
        <v>0.00416940909189461</v>
      </c>
      <c r="BE68" s="11" t="n">
        <v>0.00418860109339603</v>
      </c>
      <c r="BF68" s="11" t="n">
        <v>0.0041130673621945</v>
      </c>
      <c r="BG68" s="11" t="n">
        <v>0.00401610705854469</v>
      </c>
      <c r="BH68" s="11" t="n">
        <v>0.00390752254264975</v>
      </c>
      <c r="BI68" s="11" t="n">
        <v>0.0037980080948107</v>
      </c>
      <c r="BJ68" s="11" t="n">
        <v>0.00367179722672642</v>
      </c>
      <c r="BK68" s="11" t="n">
        <v>0.00361413237251354</v>
      </c>
      <c r="BL68" s="11" t="n">
        <v>0.00346195893244266</v>
      </c>
      <c r="BM68" s="11" t="n">
        <v>0.00335582640557087</v>
      </c>
      <c r="BN68" s="11" t="n">
        <v>0.0236590465808732</v>
      </c>
      <c r="BO68" s="11" t="n">
        <v>0.0229082908485895</v>
      </c>
      <c r="BP68" s="11" t="n">
        <v>0.0216435792982624</v>
      </c>
      <c r="BQ68" s="11" t="n">
        <v>0.0208942036698791</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0.384667961468078</v>
      </c>
      <c r="AO69" s="11" t="n">
        <v>0.384878566222545</v>
      </c>
      <c r="AP69" s="11" t="n">
        <v>0.38493740238459</v>
      </c>
      <c r="AQ69" s="11" t="n">
        <v>0.376536997319647</v>
      </c>
      <c r="AR69" s="11" t="n">
        <v>0.378595804706179</v>
      </c>
      <c r="AS69" s="11" t="n">
        <v>0.369607747091034</v>
      </c>
      <c r="AT69" s="11" t="n">
        <v>0.368693216575447</v>
      </c>
      <c r="AU69" s="11" t="n">
        <v>0.365391524754509</v>
      </c>
      <c r="AV69" s="11" t="n">
        <v>0.359069578939282</v>
      </c>
      <c r="AW69" s="11" t="n">
        <v>0.35431734770045</v>
      </c>
      <c r="AX69" s="11" t="n">
        <v>0.352384349442521</v>
      </c>
      <c r="AY69" s="11" t="n">
        <v>0.347045996875512</v>
      </c>
      <c r="AZ69" s="11" t="n">
        <v>0.340300461483622</v>
      </c>
      <c r="BA69" s="11" t="n">
        <v>0.338633693140502</v>
      </c>
      <c r="BB69" s="11" t="n">
        <v>0.338762804309407</v>
      </c>
      <c r="BC69" s="11" t="n">
        <v>0.336139545177534</v>
      </c>
      <c r="BD69" s="11" t="n">
        <v>0.339897527393844</v>
      </c>
      <c r="BE69" s="11" t="n">
        <v>0.344088627100641</v>
      </c>
      <c r="BF69" s="11" t="n">
        <v>0.342418607155411</v>
      </c>
      <c r="BG69" s="11" t="n">
        <v>0.338695358733107</v>
      </c>
      <c r="BH69" s="11" t="n">
        <v>0.333587902085836</v>
      </c>
      <c r="BI69" s="11" t="n">
        <v>0.328257127452876</v>
      </c>
      <c r="BJ69" s="11" t="n">
        <v>0.32100193712739</v>
      </c>
      <c r="BK69" s="11" t="n">
        <v>0.321651746369137</v>
      </c>
      <c r="BL69" s="11" t="n">
        <v>0.310869926079046</v>
      </c>
      <c r="BM69" s="11" t="n">
        <v>0.305070765834023</v>
      </c>
      <c r="BN69" s="11" t="n">
        <v>1.88775127416554</v>
      </c>
      <c r="BO69" s="11" t="n">
        <v>1.85882529044682</v>
      </c>
      <c r="BP69" s="11" t="n">
        <v>1.75311773444139</v>
      </c>
      <c r="BQ69" s="11" t="n">
        <v>1.69752219712193</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41.8267072065194</v>
      </c>
      <c r="AN74" s="11" t="n">
        <v>39.5641599451989</v>
      </c>
      <c r="AO74" s="11" t="n">
        <v>38.9189992093015</v>
      </c>
      <c r="AP74" s="11" t="n">
        <v>38.9005005958973</v>
      </c>
      <c r="AQ74" s="11" t="n">
        <v>38.9001412510692</v>
      </c>
      <c r="AR74" s="11" t="n">
        <v>38.8836766802359</v>
      </c>
      <c r="AS74" s="11" t="n">
        <v>38.9847429590424</v>
      </c>
      <c r="AT74" s="11" t="n">
        <v>38.9915458908339</v>
      </c>
      <c r="AU74" s="11" t="n">
        <v>39.1896592196202</v>
      </c>
      <c r="AV74" s="11" t="n">
        <v>39.4064554929955</v>
      </c>
      <c r="AW74" s="11" t="n">
        <v>39.339954668858</v>
      </c>
      <c r="AX74" s="11" t="n">
        <v>39.4704729425435</v>
      </c>
      <c r="AY74" s="11" t="n">
        <v>39.5839999947827</v>
      </c>
      <c r="AZ74" s="11" t="n">
        <v>39.9689193364577</v>
      </c>
      <c r="BA74" s="11" t="n">
        <v>40.196337698837</v>
      </c>
      <c r="BB74" s="11" t="n">
        <v>40.4964065273745</v>
      </c>
      <c r="BC74" s="11" t="n">
        <v>41.1584543836729</v>
      </c>
      <c r="BD74" s="11" t="n">
        <v>42.0737495673736</v>
      </c>
      <c r="BE74" s="11" t="n">
        <v>42.502690684888</v>
      </c>
      <c r="BF74" s="11" t="n">
        <v>42.9159488137505</v>
      </c>
      <c r="BG74" s="11" t="n">
        <v>43.3376437262338</v>
      </c>
      <c r="BH74" s="11" t="n">
        <v>43.8118657386191</v>
      </c>
      <c r="BI74" s="11" t="n">
        <v>44.4613088636262</v>
      </c>
      <c r="BJ74" s="11" t="n">
        <v>44.9901487469243</v>
      </c>
      <c r="BK74" s="11" t="n">
        <v>45.5018069893334</v>
      </c>
      <c r="BL74" s="11" t="n">
        <v>45.9882301185014</v>
      </c>
      <c r="BM74" s="11" t="n">
        <v>46.5240850437364</v>
      </c>
      <c r="BN74" s="11" t="n">
        <v>210.755512382878</v>
      </c>
      <c r="BO74" s="11" t="n">
        <v>194.949766000802</v>
      </c>
      <c r="BP74" s="11" t="n">
        <v>197.769802435637</v>
      </c>
      <c r="BQ74" s="11" t="n">
        <v>206.427638862146</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0.124219774039943</v>
      </c>
      <c r="AN75" s="11" t="n">
        <v>0.121815541381357</v>
      </c>
      <c r="AO75" s="11" t="n">
        <v>0.121742465631423</v>
      </c>
      <c r="AP75" s="11" t="n">
        <v>0.121537478100211</v>
      </c>
      <c r="AQ75" s="11" t="n">
        <v>0.122335075859455</v>
      </c>
      <c r="AR75" s="11" t="n">
        <v>0.122459093811168</v>
      </c>
      <c r="AS75" s="11" t="n">
        <v>0.12252838377132</v>
      </c>
      <c r="AT75" s="11" t="n">
        <v>0.123170940314176</v>
      </c>
      <c r="AU75" s="11" t="n">
        <v>0.123423683768641</v>
      </c>
      <c r="AV75" s="11" t="n">
        <v>0.122908705122845</v>
      </c>
      <c r="AW75" s="11" t="n">
        <v>0.121344035671486</v>
      </c>
      <c r="AX75" s="11" t="n">
        <v>0.118274080141917</v>
      </c>
      <c r="AY75" s="11" t="n">
        <v>0.115215638346977</v>
      </c>
      <c r="AZ75" s="11" t="n">
        <v>0.110492077289101</v>
      </c>
      <c r="BA75" s="11" t="n">
        <v>0.107673910828138</v>
      </c>
      <c r="BB75" s="11" t="n">
        <v>0.106951663609125</v>
      </c>
      <c r="BC75" s="11" t="n">
        <v>0.10782067787289</v>
      </c>
      <c r="BD75" s="11" t="n">
        <v>0.108371550779014</v>
      </c>
      <c r="BE75" s="11" t="n">
        <v>0.108487178743999</v>
      </c>
      <c r="BF75" s="11" t="n">
        <v>0.109861645768889</v>
      </c>
      <c r="BG75" s="11" t="n">
        <v>0.111250303380444</v>
      </c>
      <c r="BH75" s="11" t="n">
        <v>0.1124885875596</v>
      </c>
      <c r="BI75" s="11" t="n">
        <v>0.113637511541051</v>
      </c>
      <c r="BJ75" s="11" t="n">
        <v>0.114718022877558</v>
      </c>
      <c r="BK75" s="11" t="n">
        <v>0.115949098630831</v>
      </c>
      <c r="BL75" s="11" t="n">
        <v>0.11748030573686</v>
      </c>
      <c r="BM75" s="11" t="n">
        <v>0.11904219707174</v>
      </c>
      <c r="BN75" s="11" t="n">
        <v>0.625917528351546</v>
      </c>
      <c r="BO75" s="11" t="n">
        <v>0.613917177524759</v>
      </c>
      <c r="BP75" s="11" t="n">
        <v>0.588234536572325</v>
      </c>
      <c r="BQ75" s="11" t="n">
        <v>0.539304981833166</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4.86435115055119</v>
      </c>
      <c r="O76" s="11" t="n">
        <v>5.03119711253612</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0.482486962557309</v>
      </c>
      <c r="AB76" s="11" t="n">
        <v>0.429079725761066</v>
      </c>
      <c r="AC76" s="11" t="n">
        <v>0.460815168912919</v>
      </c>
      <c r="AD76" s="11" t="n">
        <v>0.418050736965471</v>
      </c>
      <c r="AE76" s="11" t="n">
        <v>0.386513048337779</v>
      </c>
      <c r="AF76" s="11" t="n">
        <v>0.412200815328678</v>
      </c>
      <c r="AG76" s="11" t="n">
        <v>0.429228078343805</v>
      </c>
      <c r="AH76" s="11" t="n">
        <v>0.415869088543474</v>
      </c>
      <c r="AI76" s="11" t="n">
        <v>0.341792392713469</v>
      </c>
      <c r="AJ76" s="11" t="n">
        <v>0.338920120245381</v>
      </c>
      <c r="AK76" s="11" t="n">
        <v>0.304056990866258</v>
      </c>
      <c r="AL76" s="11" t="n">
        <v>0.320998168689842</v>
      </c>
      <c r="AM76" s="11" t="n">
        <v>0.308762907490412</v>
      </c>
      <c r="AN76" s="11" t="n">
        <v>0.308166662593573</v>
      </c>
      <c r="AO76" s="11" t="n">
        <v>0.308752534953556</v>
      </c>
      <c r="AP76" s="11" t="n">
        <v>0.309345834245687</v>
      </c>
      <c r="AQ76" s="11" t="n">
        <v>0.310806274488911</v>
      </c>
      <c r="AR76" s="11" t="n">
        <v>0.312715973991558</v>
      </c>
      <c r="AS76" s="11" t="n">
        <v>0.315187213476951</v>
      </c>
      <c r="AT76" s="11" t="n">
        <v>0.316910108055652</v>
      </c>
      <c r="AU76" s="11" t="n">
        <v>0.318068004567976</v>
      </c>
      <c r="AV76" s="11" t="n">
        <v>0.318296747970223</v>
      </c>
      <c r="AW76" s="11" t="n">
        <v>0.31777843344608</v>
      </c>
      <c r="AX76" s="11" t="n">
        <v>0.315440640765182</v>
      </c>
      <c r="AY76" s="11" t="n">
        <v>0.31254314771259</v>
      </c>
      <c r="AZ76" s="11" t="n">
        <v>0.308763893363632</v>
      </c>
      <c r="BA76" s="11" t="n">
        <v>0.308212254833488</v>
      </c>
      <c r="BB76" s="11" t="n">
        <v>0.310737293372975</v>
      </c>
      <c r="BC76" s="11" t="n">
        <v>0.313959445025139</v>
      </c>
      <c r="BD76" s="11" t="n">
        <v>0.316984765516826</v>
      </c>
      <c r="BE76" s="11" t="n">
        <v>0.319373952088776</v>
      </c>
      <c r="BF76" s="11" t="n">
        <v>0.32336423923022</v>
      </c>
      <c r="BG76" s="11" t="n">
        <v>0.327388875164487</v>
      </c>
      <c r="BH76" s="11" t="n">
        <v>0.331226943858456</v>
      </c>
      <c r="BI76" s="11" t="n">
        <v>0.335461937819447</v>
      </c>
      <c r="BJ76" s="11" t="n">
        <v>0.339640184448409</v>
      </c>
      <c r="BK76" s="11" t="n">
        <v>0.344008023761218</v>
      </c>
      <c r="BL76" s="11" t="n">
        <v>0.348782024600867</v>
      </c>
      <c r="BM76" s="11" t="n">
        <v>0.3535928778252</v>
      </c>
      <c r="BN76" s="11" t="n">
        <v>1.55602610797307</v>
      </c>
      <c r="BO76" s="11" t="n">
        <v>1.57368757458105</v>
      </c>
      <c r="BP76" s="11" t="n">
        <v>1.57282286325771</v>
      </c>
      <c r="BQ76" s="11" t="n">
        <v>1.5692677108372</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14.0785716356003</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2.69499743669116</v>
      </c>
      <c r="S77" s="11" t="n">
        <v>1.12703958186289</v>
      </c>
      <c r="T77" s="11" t="n">
        <v>1.17738858479048</v>
      </c>
      <c r="U77" s="11" t="n">
        <v>1.18654379751043</v>
      </c>
      <c r="V77" s="11" t="n">
        <v>0.998444187189309</v>
      </c>
      <c r="W77" s="11" t="n">
        <v>0.98434467653681</v>
      </c>
      <c r="X77" s="11" t="n">
        <v>0.986717488794266</v>
      </c>
      <c r="Y77" s="11" t="n">
        <v>1.04360027741906</v>
      </c>
      <c r="Z77" s="11" t="n">
        <v>1.12555768771586</v>
      </c>
      <c r="AA77" s="11" t="n">
        <v>1.18240823535114</v>
      </c>
      <c r="AB77" s="11" t="n">
        <v>1.19754396726382</v>
      </c>
      <c r="AC77" s="11" t="n">
        <v>1.09407297472769</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0.482864113787379</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0.186590750928914</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0.0919996124852703</v>
      </c>
      <c r="BH77" s="11" t="n">
        <v>0.0844347772643882</v>
      </c>
      <c r="BI77" s="11" t="n">
        <v>0.0775333629874345</v>
      </c>
      <c r="BJ77" s="11" t="n">
        <v>0.0713179532877864</v>
      </c>
      <c r="BK77" s="11" t="n">
        <v>0.0658073414465578</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1.48366130882975</v>
      </c>
      <c r="F78" s="11" t="n">
        <v>1.24305334298279</v>
      </c>
      <c r="G78" s="11" t="n">
        <v>0.617640551647897</v>
      </c>
      <c r="H78" s="11" t="n">
        <v>0.538700846476154</v>
      </c>
      <c r="I78" s="11" t="n">
        <v>0.546409279966551</v>
      </c>
      <c r="J78" s="11" t="n">
        <v>0.532812121772292</v>
      </c>
      <c r="K78" s="11" t="n">
        <v>0.530646387885412</v>
      </c>
      <c r="L78" s="11" t="n">
        <v>0.44445268402011</v>
      </c>
      <c r="M78" s="11" t="n">
        <v>0.43171766732139</v>
      </c>
      <c r="N78" s="11" t="n">
        <v>0.407642882276656</v>
      </c>
      <c r="O78" s="11" t="n">
        <v>0.51344845306472</v>
      </c>
      <c r="P78" s="11" t="n">
        <v>0.426851949457178</v>
      </c>
      <c r="Q78" s="11" t="n">
        <v>0.358954196446408</v>
      </c>
      <c r="R78" s="11" t="n">
        <v>0.313808976049458</v>
      </c>
      <c r="S78" s="11" t="n">
        <v>0.398856113928176</v>
      </c>
      <c r="T78" s="11" t="n">
        <v>0.365128105171605</v>
      </c>
      <c r="U78" s="11" t="n">
        <v>0.367555231485997</v>
      </c>
      <c r="V78" s="11" t="n">
        <v>0.276529099776064</v>
      </c>
      <c r="W78" s="11" t="n">
        <v>0.254880819288731</v>
      </c>
      <c r="X78" s="11" t="n">
        <v>0.19500676652889</v>
      </c>
      <c r="Y78" s="11" t="n">
        <v>0.281496039558142</v>
      </c>
      <c r="Z78" s="11" t="n">
        <v>0.399303588048535</v>
      </c>
      <c r="AA78" s="11" t="n">
        <v>0.243138181819986</v>
      </c>
      <c r="AB78" s="11" t="n">
        <v>0.294217429839836</v>
      </c>
      <c r="AC78" s="11" t="n">
        <v>0.23782779605641</v>
      </c>
      <c r="AD78" s="11" t="n">
        <v>0.274427975434271</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0.145322964863699</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0.788373788456026</v>
      </c>
      <c r="BP78" s="11" t="n">
        <v>0.788373788456026</v>
      </c>
      <c r="BQ78" s="11" t="n">
        <v>0.788373788456026</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0.426418736992623</v>
      </c>
      <c r="AE79" s="11" t="n">
        <v>0.458386532676318</v>
      </c>
      <c r="AF79" s="11" t="n">
        <v>0.460093295564997</v>
      </c>
      <c r="AG79" s="11" t="n">
        <v>0.565037427403676</v>
      </c>
      <c r="AH79" s="11" t="n">
        <v>0.49719676355469</v>
      </c>
      <c r="AI79" s="11" t="n">
        <v>0.425406162786779</v>
      </c>
      <c r="AJ79" s="11" t="n">
        <v>0.38749956929647</v>
      </c>
      <c r="AK79" s="11" t="n">
        <v>0.333442729385777</v>
      </c>
      <c r="AL79" s="11" t="n">
        <v>0.301791676439176</v>
      </c>
      <c r="AM79" s="11" t="n">
        <v>0.307854862676676</v>
      </c>
      <c r="AN79" s="11" t="n">
        <v>0.314290204270113</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0.372815184884234</v>
      </c>
      <c r="AW79" s="11" t="n">
        <v>0.380977508595361</v>
      </c>
      <c r="AX79" s="11" t="n">
        <v>0.389343890399265</v>
      </c>
      <c r="AY79" s="11" t="n">
        <v>0.389343890399265</v>
      </c>
      <c r="AZ79" s="11" t="n">
        <v>0.389343890399265</v>
      </c>
      <c r="BA79" s="11" t="n">
        <v>0.389343890399265</v>
      </c>
      <c r="BB79" s="11" t="n">
        <v>0.389343890399265</v>
      </c>
      <c r="BC79" s="11" t="n">
        <v>0.389343890399265</v>
      </c>
      <c r="BD79" s="11" t="n">
        <v>0.389343890399265</v>
      </c>
      <c r="BE79" s="11" t="n">
        <v>0.389343890399265</v>
      </c>
      <c r="BF79" s="11" t="n">
        <v>0.389343890399265</v>
      </c>
      <c r="BG79" s="11" t="n">
        <v>0.389343890399265</v>
      </c>
      <c r="BH79" s="11" t="n">
        <v>0.389343890399265</v>
      </c>
      <c r="BI79" s="11" t="n">
        <v>0.389343890399265</v>
      </c>
      <c r="BJ79" s="11" t="n">
        <v>0.389343890399265</v>
      </c>
      <c r="BK79" s="11" t="n">
        <v>0.389343890399265</v>
      </c>
      <c r="BL79" s="11" t="n">
        <v>0.389343890399265</v>
      </c>
      <c r="BM79" s="11" t="n">
        <v>0.389343890399265</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5.55186504357902</v>
      </c>
      <c r="H82" s="11" t="n">
        <v>5.54746647872344</v>
      </c>
      <c r="I82" s="11" t="n">
        <v>5.53902951394119</v>
      </c>
      <c r="J82" s="11" t="n">
        <v>5.54965155198649</v>
      </c>
      <c r="K82" s="11" t="n">
        <v>5.53405930164697</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5.57797283010562</v>
      </c>
      <c r="X82" s="11" t="n">
        <v>5.57878522339053</v>
      </c>
      <c r="Y82" s="11" t="n">
        <v>5.60501096444991</v>
      </c>
      <c r="Z82" s="11" t="n">
        <v>5.62372281146323</v>
      </c>
      <c r="AA82" s="11" t="n">
        <v>5.61193731105979</v>
      </c>
      <c r="AB82" s="11" t="n">
        <v>5.62617031143543</v>
      </c>
      <c r="AC82" s="11" t="n">
        <v>5.60602836886574</v>
      </c>
      <c r="AD82" s="11" t="n">
        <v>5.62278898771431</v>
      </c>
      <c r="AE82" s="11" t="n">
        <v>5.64143854355453</v>
      </c>
      <c r="AF82" s="11" t="n">
        <v>5.63907784389892</v>
      </c>
      <c r="AG82" s="11" t="n">
        <v>5.69160270708721</v>
      </c>
      <c r="AH82" s="11" t="n">
        <v>5.70956542589149</v>
      </c>
      <c r="AI82" s="11" t="n">
        <v>5.68909600002544</v>
      </c>
      <c r="AJ82" s="11" t="n">
        <v>5.69657165648638</v>
      </c>
      <c r="AK82" s="11" t="n">
        <v>5.71939302059153</v>
      </c>
      <c r="AL82" s="11" t="n">
        <v>5.75129142539663</v>
      </c>
      <c r="AM82" s="11" t="n">
        <v>5.77843961940047</v>
      </c>
      <c r="AN82" s="11" t="n">
        <v>5.82893431121417</v>
      </c>
      <c r="AO82" s="11" t="n">
        <v>5.87516461238546</v>
      </c>
      <c r="AP82" s="11" t="n">
        <v>5.92092678246998</v>
      </c>
      <c r="AQ82" s="11" t="n">
        <v>5.96055627423853</v>
      </c>
      <c r="AR82" s="11" t="n">
        <v>6.00469813847712</v>
      </c>
      <c r="AS82" s="11" t="n">
        <v>6.04871755683646</v>
      </c>
      <c r="AT82" s="11" t="n">
        <v>6.05489975770093</v>
      </c>
      <c r="AU82" s="11" t="n">
        <v>6.05930697368643</v>
      </c>
      <c r="AV82" s="11" t="n">
        <v>6.05892463983378</v>
      </c>
      <c r="AW82" s="11" t="n">
        <v>6.05840612219305</v>
      </c>
      <c r="AX82" s="11" t="n">
        <v>6.05759619889438</v>
      </c>
      <c r="AY82" s="11" t="n">
        <v>6.05669382061206</v>
      </c>
      <c r="AZ82" s="11" t="n">
        <v>6.05564215321823</v>
      </c>
      <c r="BA82" s="11" t="n">
        <v>6.05407666296171</v>
      </c>
      <c r="BB82" s="11" t="n">
        <v>6.05265111772195</v>
      </c>
      <c r="BC82" s="11" t="n">
        <v>6.05111180786035</v>
      </c>
      <c r="BD82" s="11" t="n">
        <v>6.05087833472176</v>
      </c>
      <c r="BE82" s="11" t="n">
        <v>6.05117502944991</v>
      </c>
      <c r="BF82" s="11" t="n">
        <v>6.05153060471665</v>
      </c>
      <c r="BG82" s="11" t="n">
        <v>6.04367299685357</v>
      </c>
      <c r="BH82" s="11" t="n">
        <v>6.03767307245211</v>
      </c>
      <c r="BI82" s="11" t="n">
        <v>6.02978817960862</v>
      </c>
      <c r="BJ82" s="11" t="n">
        <v>6.02218043965274</v>
      </c>
      <c r="BK82" s="11" t="n">
        <v>6.01467645946509</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1.54590973355711</v>
      </c>
      <c r="U83" s="11" t="n">
        <v>1.51233022580462</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23.2896131299309</v>
      </c>
      <c r="AD89" s="11" t="n">
        <v>22.4598930752036</v>
      </c>
      <c r="AE89" s="11" t="n">
        <v>21.2504093971715</v>
      </c>
      <c r="AF89" s="11" t="n">
        <v>21.5202362651174</v>
      </c>
      <c r="AG89" s="11" t="n">
        <v>21.3909566422106</v>
      </c>
      <c r="AH89" s="11" t="n">
        <v>20.9216203724665</v>
      </c>
      <c r="AI89" s="11" t="n">
        <v>19.3965300882596</v>
      </c>
      <c r="AJ89" s="11" t="n">
        <v>18.2511641416297</v>
      </c>
      <c r="AK89" s="11" t="n">
        <v>18.1536780644355</v>
      </c>
      <c r="AL89" s="11" t="n">
        <v>17.9881834052639</v>
      </c>
      <c r="AM89" s="11" t="n">
        <v>17.1816180724298</v>
      </c>
      <c r="AN89" s="11" t="n">
        <v>16.805332368613</v>
      </c>
      <c r="AO89" s="11" t="n">
        <v>16.3804599170286</v>
      </c>
      <c r="AP89" s="11" t="n">
        <v>16.6856540403366</v>
      </c>
      <c r="AQ89" s="11" t="n">
        <v>15.7084044980238</v>
      </c>
      <c r="AR89" s="11" t="n">
        <v>14.8484486297686</v>
      </c>
      <c r="AS89" s="11" t="n">
        <v>14.058023031111</v>
      </c>
      <c r="AT89" s="11" t="n">
        <v>13.3612765882142</v>
      </c>
      <c r="AU89" s="11" t="n">
        <v>12.7482354035582</v>
      </c>
      <c r="AV89" s="11" t="n">
        <v>12.2106731334783</v>
      </c>
      <c r="AW89" s="11" t="n">
        <v>11.7432322229737</v>
      </c>
      <c r="AX89" s="11" t="n">
        <v>11.3381303755507</v>
      </c>
      <c r="AY89" s="11" t="n">
        <v>10.9873473505523</v>
      </c>
      <c r="AZ89" s="11" t="n">
        <v>10.6831763987796</v>
      </c>
      <c r="BA89" s="11" t="n">
        <v>10.4215025415605</v>
      </c>
      <c r="BB89" s="11" t="n">
        <v>10.1985929507016</v>
      </c>
      <c r="BC89" s="11" t="n">
        <v>10.0113030599559</v>
      </c>
      <c r="BD89" s="11" t="n">
        <v>9.89321071609362</v>
      </c>
      <c r="BE89" s="11" t="n">
        <v>9.8046886607539</v>
      </c>
      <c r="BF89" s="11" t="n">
        <v>9.74328347267451</v>
      </c>
      <c r="BG89" s="11" t="n">
        <v>9.70676731636727</v>
      </c>
      <c r="BH89" s="11" t="n">
        <v>9.69387380412161</v>
      </c>
      <c r="BI89" s="11" t="n">
        <v>9.7013006501212</v>
      </c>
      <c r="BJ89" s="11" t="n">
        <v>9.72719598973844</v>
      </c>
      <c r="BK89" s="11" t="n">
        <v>9.77005327826599</v>
      </c>
      <c r="BL89" s="11" t="n">
        <v>9.82869102542336</v>
      </c>
      <c r="BM89" s="11" t="n">
        <v>9.90200865914175</v>
      </c>
      <c r="BN89" s="11" t="n">
        <v>85.0412478036718</v>
      </c>
      <c r="BO89" s="11" t="n">
        <v>70.7243881506757</v>
      </c>
      <c r="BP89" s="11" t="n">
        <v>56.9625594813346</v>
      </c>
      <c r="BQ89" s="11" t="n">
        <v>50.3292979290655</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0.904938172599068</v>
      </c>
      <c r="I90" s="11" t="n">
        <v>0.914476012595916</v>
      </c>
      <c r="J90" s="11" t="n">
        <v>0.933558892577923</v>
      </c>
      <c r="K90" s="11" t="n">
        <v>0.968449580784931</v>
      </c>
      <c r="L90" s="11" t="n">
        <v>0.97969326745571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161</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v>
      </c>
      <c r="H4" s="11" t="n">
        <v>778.360752029278</v>
      </c>
      <c r="I4" s="11" t="n">
        <v>765.820753611057</v>
      </c>
      <c r="J4" s="11" t="n">
        <v>759.200161760264</v>
      </c>
      <c r="K4" s="11" t="n">
        <v>779.071811500093</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371.759803404664</v>
      </c>
      <c r="AN4" s="11" t="n">
        <v>359.998079718019</v>
      </c>
      <c r="AO4" s="11" t="n">
        <v>347.533550603236</v>
      </c>
      <c r="AP4" s="11" t="n">
        <v>338.959260344384</v>
      </c>
      <c r="AQ4" s="11" t="n">
        <v>331.386921981573</v>
      </c>
      <c r="AR4" s="11" t="n">
        <v>326.491271563129</v>
      </c>
      <c r="AS4" s="11" t="n">
        <v>318.814078609947</v>
      </c>
      <c r="AT4" s="11" t="n">
        <v>311.116459501953</v>
      </c>
      <c r="AU4" s="11" t="n">
        <v>305.028734864806</v>
      </c>
      <c r="AV4" s="11" t="n">
        <v>300.33048966273</v>
      </c>
      <c r="AW4" s="11" t="n">
        <v>296.662306485334</v>
      </c>
      <c r="AX4" s="11" t="n">
        <v>293.839737742473</v>
      </c>
      <c r="AY4" s="11" t="n">
        <v>288.205043028935</v>
      </c>
      <c r="AZ4" s="11" t="n">
        <v>285.281200552909</v>
      </c>
      <c r="BA4" s="11" t="n">
        <v>283.157657306561</v>
      </c>
      <c r="BB4" s="11" t="n">
        <v>280.708872145449</v>
      </c>
      <c r="BC4" s="11" t="n">
        <v>279.35062562469</v>
      </c>
      <c r="BD4" s="11" t="n">
        <v>278.613094946036</v>
      </c>
      <c r="BE4" s="11" t="n">
        <v>277.966530212762</v>
      </c>
      <c r="BF4" s="11" t="n">
        <v>278.030577068858</v>
      </c>
      <c r="BG4" s="11" t="n">
        <v>278.625417733826</v>
      </c>
      <c r="BH4" s="11" t="n">
        <v>278.666064592414</v>
      </c>
      <c r="BI4" s="11" t="n">
        <v>279.501565470299</v>
      </c>
      <c r="BJ4" s="11" t="n">
        <v>280.274396404601</v>
      </c>
      <c r="BK4" s="11" t="n">
        <v>279.453280407107</v>
      </c>
      <c r="BL4" s="11" t="n">
        <v>277.055795938478</v>
      </c>
      <c r="BM4" s="11" t="n">
        <v>276.673488775707</v>
      </c>
      <c r="BN4" s="11" t="n">
        <v>1803.22325016043</v>
      </c>
      <c r="BO4" s="11" t="n">
        <v>1592.83746652141</v>
      </c>
      <c r="BP4" s="11" t="n">
        <v>1464.31877747238</v>
      </c>
      <c r="BQ4" s="11" t="n">
        <v>1399.7967802355</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414.090851598088</v>
      </c>
      <c r="AN5" s="11" t="n">
        <v>402.094440591853</v>
      </c>
      <c r="AO5" s="11" t="n">
        <v>388.233719809701</v>
      </c>
      <c r="AP5" s="11" t="n">
        <v>379.016668516198</v>
      </c>
      <c r="AQ5" s="11" t="n">
        <v>370.663415092901</v>
      </c>
      <c r="AR5" s="11" t="n">
        <v>366.116140879513</v>
      </c>
      <c r="AS5" s="11" t="n">
        <v>357.574120190548</v>
      </c>
      <c r="AT5" s="11" t="n">
        <v>349.911830277514</v>
      </c>
      <c r="AU5" s="11" t="n">
        <v>343.581050532858</v>
      </c>
      <c r="AV5" s="11" t="n">
        <v>338.301685882745</v>
      </c>
      <c r="AW5" s="11" t="n">
        <v>334.218578315453</v>
      </c>
      <c r="AX5" s="11" t="n">
        <v>331.276321866539</v>
      </c>
      <c r="AY5" s="11" t="n">
        <v>325.128169786848</v>
      </c>
      <c r="AZ5" s="11" t="n">
        <v>321.527538485626</v>
      </c>
      <c r="BA5" s="11" t="n">
        <v>319.298382046008</v>
      </c>
      <c r="BB5" s="11" t="n">
        <v>316.93810078037</v>
      </c>
      <c r="BC5" s="11" t="n">
        <v>315.361905012273</v>
      </c>
      <c r="BD5" s="11" t="n">
        <v>315.103149408805</v>
      </c>
      <c r="BE5" s="11" t="n">
        <v>314.987741757956</v>
      </c>
      <c r="BF5" s="11" t="n">
        <v>314.986420107156</v>
      </c>
      <c r="BG5" s="11" t="n">
        <v>315.289815567878</v>
      </c>
      <c r="BH5" s="11" t="n">
        <v>314.881926607072</v>
      </c>
      <c r="BI5" s="11" t="n">
        <v>315.241850441876</v>
      </c>
      <c r="BJ5" s="11" t="n">
        <v>315.320927842215</v>
      </c>
      <c r="BK5" s="11" t="n">
        <v>314.700496490855</v>
      </c>
      <c r="BL5" s="11" t="n">
        <v>311.20163645487</v>
      </c>
      <c r="BM5" s="11" t="n">
        <v>310.277478254658</v>
      </c>
      <c r="BN5" s="11" t="n">
        <v>2007.88312041592</v>
      </c>
      <c r="BO5" s="11" t="n">
        <v>1787.84655697333</v>
      </c>
      <c r="BP5" s="11" t="n">
        <v>1650.45229433721</v>
      </c>
      <c r="BQ5" s="11" t="n">
        <v>1581.68927900541</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371.759803404664</v>
      </c>
      <c r="AN6" s="11" t="n">
        <v>359.998079718019</v>
      </c>
      <c r="AO6" s="11" t="n">
        <v>347.533550603236</v>
      </c>
      <c r="AP6" s="11" t="n">
        <v>338.959260344384</v>
      </c>
      <c r="AQ6" s="11" t="n">
        <v>331.386921981573</v>
      </c>
      <c r="AR6" s="11" t="n">
        <v>326.491271563129</v>
      </c>
      <c r="AS6" s="11" t="n">
        <v>318.814078609947</v>
      </c>
      <c r="AT6" s="11" t="n">
        <v>311.116459501953</v>
      </c>
      <c r="AU6" s="11" t="n">
        <v>305.028734864805</v>
      </c>
      <c r="AV6" s="11" t="n">
        <v>338.301685882745</v>
      </c>
      <c r="AW6" s="11" t="n">
        <v>334.218578315453</v>
      </c>
      <c r="AX6" s="11" t="n">
        <v>331.276321866539</v>
      </c>
      <c r="AY6" s="11" t="n">
        <v>325.128169786848</v>
      </c>
      <c r="AZ6" s="11" t="n">
        <v>321.527538485626</v>
      </c>
      <c r="BA6" s="11"/>
      <c r="BB6" s="11"/>
      <c r="BC6" s="11"/>
      <c r="BD6" s="11"/>
      <c r="BE6" s="11"/>
      <c r="BF6" s="11"/>
      <c r="BG6" s="11"/>
      <c r="BH6" s="11"/>
      <c r="BI6" s="11"/>
      <c r="BJ6" s="11"/>
      <c r="BK6" s="11"/>
      <c r="BL6" s="11"/>
      <c r="BM6" s="11"/>
      <c r="BN6" s="11" t="n">
        <v>1803.22325016043</v>
      </c>
      <c r="BO6" s="11" t="n">
        <v>1592.83746652141</v>
      </c>
      <c r="BP6" s="11" t="n">
        <v>1650.45229433721</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371.759803404664</v>
      </c>
      <c r="AN7" s="11" t="n">
        <v>359.998079718019</v>
      </c>
      <c r="AO7" s="11" t="n">
        <v>347.533550603236</v>
      </c>
      <c r="AP7" s="11" t="n">
        <v>338.959260344384</v>
      </c>
      <c r="AQ7" s="11" t="n">
        <v>331.386921981573</v>
      </c>
      <c r="AR7" s="11" t="n">
        <v>326.491271563129</v>
      </c>
      <c r="AS7" s="11" t="n">
        <v>318.814078609947</v>
      </c>
      <c r="AT7" s="11" t="n">
        <v>311.116459501953</v>
      </c>
      <c r="AU7" s="11" t="n">
        <v>305.028734864805</v>
      </c>
      <c r="AV7" s="11"/>
      <c r="AW7" s="11"/>
      <c r="AX7" s="11"/>
      <c r="AY7" s="11"/>
      <c r="AZ7" s="11"/>
      <c r="BA7" s="11"/>
      <c r="BB7" s="11"/>
      <c r="BC7" s="11"/>
      <c r="BD7" s="11"/>
      <c r="BE7" s="11"/>
      <c r="BF7" s="11"/>
      <c r="BG7" s="11"/>
      <c r="BH7" s="11"/>
      <c r="BI7" s="11"/>
      <c r="BJ7" s="11"/>
      <c r="BK7" s="11"/>
      <c r="BL7" s="11"/>
      <c r="BM7" s="11"/>
      <c r="BN7" s="11" t="n">
        <v>1803.22325016043</v>
      </c>
      <c r="BO7" s="11" t="n">
        <v>1592.83746652141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338.301685882745</v>
      </c>
      <c r="AW8" s="11" t="n">
        <v>334.218578315453</v>
      </c>
      <c r="AX8" s="11" t="n">
        <v>331.276321866539</v>
      </c>
      <c r="AY8" s="11" t="n">
        <v>325.128169786848</v>
      </c>
      <c r="AZ8" s="11" t="n">
        <v>321.527538485626</v>
      </c>
      <c r="BA8" s="11"/>
      <c r="BB8" s="11"/>
      <c r="BC8" s="11"/>
      <c r="BD8" s="11"/>
      <c r="BE8" s="11"/>
      <c r="BF8" s="11"/>
      <c r="BG8" s="11"/>
      <c r="BH8" s="11"/>
      <c r="BI8" s="11"/>
      <c r="BJ8" s="11"/>
      <c r="BK8" s="11"/>
      <c r="BL8" s="11"/>
      <c r="BM8" s="11"/>
      <c r="BN8" s="11"/>
      <c r="BO8" s="11"/>
      <c r="BP8" s="11" t="n">
        <v>1650.45229433721</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93.7043511201761</v>
      </c>
      <c r="AJ10" s="11" t="n">
        <v>98.2009567177289</v>
      </c>
      <c r="AK10" s="11" t="n">
        <v>83.4998821959421</v>
      </c>
      <c r="AL10" s="11" t="n">
        <v>78.4758175684127</v>
      </c>
      <c r="AM10" s="11" t="n">
        <v>81.0366508749843</v>
      </c>
      <c r="AN10" s="11" t="n">
        <v>83.2549180086625</v>
      </c>
      <c r="AO10" s="11" t="n">
        <v>81.3587229907167</v>
      </c>
      <c r="AP10" s="11" t="n">
        <v>79.159618931408</v>
      </c>
      <c r="AQ10" s="11" t="n">
        <v>78.4691718612562</v>
      </c>
      <c r="AR10" s="11" t="n">
        <v>79.4937112218313</v>
      </c>
      <c r="AS10" s="11" t="n">
        <v>79.2829548824904</v>
      </c>
      <c r="AT10" s="11" t="n">
        <v>79.2088433935621</v>
      </c>
      <c r="AU10" s="11" t="n">
        <v>79.1123430149522</v>
      </c>
      <c r="AV10" s="11" t="n">
        <v>79.0908323023574</v>
      </c>
      <c r="AW10" s="11" t="n">
        <v>79.1002817696289</v>
      </c>
      <c r="AX10" s="11" t="n">
        <v>79.1699820227824</v>
      </c>
      <c r="AY10" s="11" t="n">
        <v>79.5468585691076</v>
      </c>
      <c r="AZ10" s="11" t="n">
        <v>79.6888251954776</v>
      </c>
      <c r="BA10" s="11" t="n">
        <v>79.9106508132858</v>
      </c>
      <c r="BB10" s="11" t="n">
        <v>80.1472018209478</v>
      </c>
      <c r="BC10" s="11" t="n">
        <v>80.4322023666483</v>
      </c>
      <c r="BD10" s="11" t="n">
        <v>80.8146895218974</v>
      </c>
      <c r="BE10" s="11" t="n">
        <v>81.0214504262584</v>
      </c>
      <c r="BF10" s="11" t="n">
        <v>81.1763952032147</v>
      </c>
      <c r="BG10" s="11" t="n">
        <v>81.538421501273</v>
      </c>
      <c r="BH10" s="11" t="n">
        <v>81.566784565193</v>
      </c>
      <c r="BI10" s="11" t="n">
        <v>81.6930982395566</v>
      </c>
      <c r="BJ10" s="11" t="n">
        <v>81.9618364984265</v>
      </c>
      <c r="BK10" s="11" t="n">
        <v>82.0465166903614</v>
      </c>
      <c r="BL10" s="11" t="n">
        <v>82.0511240601653</v>
      </c>
      <c r="BM10" s="11" t="n">
        <v>82.0494775788978</v>
      </c>
      <c r="BN10" s="11" t="n">
        <v>403.285728374184</v>
      </c>
      <c r="BO10" s="11" t="n">
        <v>395.567024374092</v>
      </c>
      <c r="BP10" s="11" t="n">
        <v>396.596779859354</v>
      </c>
      <c r="BQ10" s="11" t="n">
        <v>402.326194949038</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115.655995105252</v>
      </c>
      <c r="AO11" s="11" t="n">
        <v>111.720350065456</v>
      </c>
      <c r="AP11" s="11" t="n">
        <v>108.028752409348</v>
      </c>
      <c r="AQ11" s="11" t="n">
        <v>103.614668052431</v>
      </c>
      <c r="AR11" s="11" t="n">
        <v>98.4455765068632</v>
      </c>
      <c r="AS11" s="11" t="n">
        <v>92.3478680540595</v>
      </c>
      <c r="AT11" s="11" t="n">
        <v>86.7796271199946</v>
      </c>
      <c r="AU11" s="11" t="n">
        <v>81.6358936717191</v>
      </c>
      <c r="AV11" s="11" t="n">
        <v>77.1926937303249</v>
      </c>
      <c r="AW11" s="11" t="n">
        <v>73.227873374473</v>
      </c>
      <c r="AX11" s="11" t="n">
        <v>69.7633066932235</v>
      </c>
      <c r="AY11" s="11" t="n">
        <v>66.6271636788531</v>
      </c>
      <c r="AZ11" s="11" t="n">
        <v>63.8173351145215</v>
      </c>
      <c r="BA11" s="11" t="n">
        <v>61.3460253253844</v>
      </c>
      <c r="BB11" s="11" t="n">
        <v>59.2513503218136</v>
      </c>
      <c r="BC11" s="11" t="n">
        <v>57.3522467134035</v>
      </c>
      <c r="BD11" s="11" t="n">
        <v>55.7404534318227</v>
      </c>
      <c r="BE11" s="11" t="n">
        <v>54.3221021210088</v>
      </c>
      <c r="BF11" s="11" t="n">
        <v>53.2010330864734</v>
      </c>
      <c r="BG11" s="11" t="n">
        <v>52.2192365544279</v>
      </c>
      <c r="BH11" s="11" t="n">
        <v>51.3875183972464</v>
      </c>
      <c r="BI11" s="11" t="n">
        <v>50.7459255304293</v>
      </c>
      <c r="BJ11" s="11" t="n">
        <v>50.1917602790355</v>
      </c>
      <c r="BK11" s="11" t="n">
        <v>49.8684481596158</v>
      </c>
      <c r="BL11" s="11" t="n">
        <v>49.5508615536094</v>
      </c>
      <c r="BM11" s="11" t="n">
        <v>49.3067373380293</v>
      </c>
      <c r="BN11" s="11" t="n">
        <v>559.689160171159</v>
      </c>
      <c r="BO11" s="11" t="n">
        <v>462.823633405067</v>
      </c>
      <c r="BP11" s="11" t="n">
        <v>350.628372591396</v>
      </c>
      <c r="BQ11" s="11" t="n">
        <v>288.012177913433</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38.7228141612476</v>
      </c>
      <c r="AN12" s="11" t="n">
        <v>25.267909759866</v>
      </c>
      <c r="AO12" s="11" t="n">
        <v>21.0534939007117</v>
      </c>
      <c r="AP12" s="11" t="n">
        <v>18.9538511474754</v>
      </c>
      <c r="AQ12" s="11" t="n">
        <v>18.5264350767618</v>
      </c>
      <c r="AR12" s="11" t="n">
        <v>19.507637052415</v>
      </c>
      <c r="AS12" s="11" t="n">
        <v>20.2833514273273</v>
      </c>
      <c r="AT12" s="11" t="n">
        <v>20.0062422568263</v>
      </c>
      <c r="AU12" s="11" t="n">
        <v>20.4860100268966</v>
      </c>
      <c r="AV12" s="11" t="n">
        <v>21.5028645017871</v>
      </c>
      <c r="AW12" s="11" t="n">
        <v>22.6160482713941</v>
      </c>
      <c r="AX12" s="11" t="n">
        <v>23.7993494370061</v>
      </c>
      <c r="AY12" s="11" t="n">
        <v>23.0642572620819</v>
      </c>
      <c r="AZ12" s="11" t="n">
        <v>23.2579340891746</v>
      </c>
      <c r="BA12" s="11" t="n">
        <v>24.0431759796064</v>
      </c>
      <c r="BB12" s="11" t="n">
        <v>24.2050800128595</v>
      </c>
      <c r="BC12" s="11" t="n">
        <v>24.4373369734733</v>
      </c>
      <c r="BD12" s="11" t="n">
        <v>25.6047420738704</v>
      </c>
      <c r="BE12" s="11" t="n">
        <v>26.9345927097024</v>
      </c>
      <c r="BF12" s="11" t="n">
        <v>28.221082664295</v>
      </c>
      <c r="BG12" s="11" t="n">
        <v>29.3919923055307</v>
      </c>
      <c r="BH12" s="11" t="n">
        <v>30.1177485386079</v>
      </c>
      <c r="BI12" s="11" t="n">
        <v>31.3416555722474</v>
      </c>
      <c r="BJ12" s="11" t="n">
        <v>32.2499401642475</v>
      </c>
      <c r="BK12" s="11" t="n">
        <v>31.8505838660461</v>
      </c>
      <c r="BL12" s="11" t="n">
        <v>30.1757228144026</v>
      </c>
      <c r="BM12" s="11" t="n">
        <v>30.092362244367</v>
      </c>
      <c r="BN12" s="11" t="n">
        <v>147.931565738443</v>
      </c>
      <c r="BO12" s="11" t="n">
        <v>98.8096758402269</v>
      </c>
      <c r="BP12" s="11" t="n">
        <v>114.240453561444</v>
      </c>
      <c r="BQ12" s="11" t="n">
        <v>125.224927749512</v>
      </c>
    </row>
    <row r="13" customFormat="false" ht="13.8" hidden="false" customHeight="false" outlineLevel="0" collapsed="false">
      <c r="A13" s="11" t="s">
        <v>137</v>
      </c>
      <c r="B13" s="11" t="s">
        <v>148</v>
      </c>
      <c r="C13" s="11" t="s">
        <v>139</v>
      </c>
      <c r="D13" s="12"/>
      <c r="E13" s="11" t="n">
        <v>77.1921705075374</v>
      </c>
      <c r="F13" s="11" t="n">
        <v>78.080806528045</v>
      </c>
      <c r="G13" s="11" t="n">
        <v>79.240786095642</v>
      </c>
      <c r="H13" s="11" t="n">
        <v>78.9274931034911</v>
      </c>
      <c r="I13" s="11" t="n">
        <v>71.4488522684982</v>
      </c>
      <c r="J13" s="11" t="n">
        <v>74.8462179844523</v>
      </c>
      <c r="K13" s="11" t="n">
        <v>74.6165741832361</v>
      </c>
      <c r="L13" s="11" t="n">
        <v>72.7018598920015</v>
      </c>
      <c r="M13" s="11" t="n">
        <v>71.0438362400115</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30.1737519407435</v>
      </c>
      <c r="AO13" s="11" t="n">
        <v>28.9749117552333</v>
      </c>
      <c r="AP13" s="11" t="n">
        <v>28.1643258816929</v>
      </c>
      <c r="AQ13" s="11" t="n">
        <v>27.2083654715437</v>
      </c>
      <c r="AR13" s="11" t="n">
        <v>26.2891140623193</v>
      </c>
      <c r="AS13" s="11" t="n">
        <v>24.9421487946152</v>
      </c>
      <c r="AT13" s="11" t="n">
        <v>23.5687657468396</v>
      </c>
      <c r="AU13" s="11" t="n">
        <v>22.7367503549721</v>
      </c>
      <c r="AV13" s="11" t="n">
        <v>21.6622223223524</v>
      </c>
      <c r="AW13" s="11" t="n">
        <v>21.2419105476506</v>
      </c>
      <c r="AX13" s="11" t="n">
        <v>20.8244043518292</v>
      </c>
      <c r="AY13" s="11" t="n">
        <v>18.8388958606063</v>
      </c>
      <c r="AZ13" s="11" t="n">
        <v>18.3409739217329</v>
      </c>
      <c r="BA13" s="11" t="n">
        <v>17.8194935884583</v>
      </c>
      <c r="BB13" s="11" t="n">
        <v>17.0365297962388</v>
      </c>
      <c r="BC13" s="11" t="n">
        <v>16.6975302518302</v>
      </c>
      <c r="BD13" s="11" t="n">
        <v>15.4229782291817</v>
      </c>
      <c r="BE13" s="11" t="n">
        <v>14.6177560698233</v>
      </c>
      <c r="BF13" s="11" t="n">
        <v>14.3045060111743</v>
      </c>
      <c r="BG13" s="11" t="n">
        <v>14.2368027413602</v>
      </c>
      <c r="BH13" s="11" t="n">
        <v>14.1588914823128</v>
      </c>
      <c r="BI13" s="11" t="n">
        <v>14.1104292389461</v>
      </c>
      <c r="BJ13" s="11" t="n">
        <v>14.0381540241585</v>
      </c>
      <c r="BK13" s="11" t="n">
        <v>13.7542726280838</v>
      </c>
      <c r="BL13" s="11" t="n">
        <v>13.3500460831773</v>
      </c>
      <c r="BM13" s="11" t="n">
        <v>13.1724801624673</v>
      </c>
      <c r="BN13" s="11" t="n">
        <v>148.288201298352</v>
      </c>
      <c r="BO13" s="11" t="n">
        <v>124.74514443029</v>
      </c>
      <c r="BP13" s="11" t="n">
        <v>100.908407004171</v>
      </c>
      <c r="BQ13" s="11" t="n">
        <v>81.5942879355323</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42.0963608738339</v>
      </c>
      <c r="AO14" s="11" t="n">
        <v>40.7001692064654</v>
      </c>
      <c r="AP14" s="11" t="n">
        <v>40.0574081718138</v>
      </c>
      <c r="AQ14" s="11" t="n">
        <v>39.2764931113279</v>
      </c>
      <c r="AR14" s="11" t="n">
        <v>39.6248693163844</v>
      </c>
      <c r="AS14" s="11" t="n">
        <v>38.7600415806011</v>
      </c>
      <c r="AT14" s="11" t="n">
        <v>38.7953707755605</v>
      </c>
      <c r="AU14" s="11" t="n">
        <v>38.5523156680526</v>
      </c>
      <c r="AV14" s="11" t="n">
        <v>37.9711962200152</v>
      </c>
      <c r="AW14" s="11" t="n">
        <v>37.5562718301192</v>
      </c>
      <c r="AX14" s="11" t="n">
        <v>37.436584124066</v>
      </c>
      <c r="AY14" s="11" t="n">
        <v>36.9231267579129</v>
      </c>
      <c r="AZ14" s="11" t="n">
        <v>36.2463379327162</v>
      </c>
      <c r="BA14" s="11" t="n">
        <v>36.1407247394467</v>
      </c>
      <c r="BB14" s="11" t="n">
        <v>36.229228634921</v>
      </c>
      <c r="BC14" s="11" t="n">
        <v>36.0112793875832</v>
      </c>
      <c r="BD14" s="11" t="n">
        <v>36.4900544627694</v>
      </c>
      <c r="BE14" s="11" t="n">
        <v>37.0212115451932</v>
      </c>
      <c r="BF14" s="11" t="n">
        <v>36.955843038298</v>
      </c>
      <c r="BG14" s="11" t="n">
        <v>36.6643978340516</v>
      </c>
      <c r="BH14" s="11" t="n">
        <v>36.2158620146579</v>
      </c>
      <c r="BI14" s="11" t="n">
        <v>35.7402849715776</v>
      </c>
      <c r="BJ14" s="11" t="n">
        <v>35.0465314376135</v>
      </c>
      <c r="BK14" s="11" t="n">
        <v>35.2472160837481</v>
      </c>
      <c r="BL14" s="11" t="n">
        <v>34.1458405163911</v>
      </c>
      <c r="BM14" s="11" t="n">
        <v>33.6039894789508</v>
      </c>
      <c r="BN14" s="11" t="n">
        <v>204.659870255496</v>
      </c>
      <c r="BO14" s="11" t="n">
        <v>195.009090451927</v>
      </c>
      <c r="BP14" s="11" t="n">
        <v>186.13351686483</v>
      </c>
      <c r="BQ14" s="11" t="n">
        <v>181.892498769914</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43.2647626112103</v>
      </c>
      <c r="AN15" s="11" t="n">
        <v>40.963500152475</v>
      </c>
      <c r="AO15" s="11" t="n">
        <v>40.2481708131295</v>
      </c>
      <c r="AP15" s="11" t="n">
        <v>40.1386013947728</v>
      </c>
      <c r="AQ15" s="11" t="n">
        <v>40.0995585256859</v>
      </c>
      <c r="AR15" s="11" t="n">
        <v>40.0705853950139</v>
      </c>
      <c r="AS15" s="11" t="n">
        <v>40.0367045458454</v>
      </c>
      <c r="AT15" s="11" t="n">
        <v>40.2565998936051</v>
      </c>
      <c r="AU15" s="11" t="n">
        <v>40.3320306854233</v>
      </c>
      <c r="AV15" s="11" t="n">
        <v>40.6200163932045</v>
      </c>
      <c r="AW15" s="11" t="n">
        <v>40.6025131758838</v>
      </c>
      <c r="AX15" s="11" t="n">
        <v>40.7410246089702</v>
      </c>
      <c r="AY15" s="11" t="n">
        <v>40.9177328095666</v>
      </c>
      <c r="AZ15" s="11" t="n">
        <v>41.3051018081783</v>
      </c>
      <c r="BA15" s="11" t="n">
        <v>41.5500184071286</v>
      </c>
      <c r="BB15" s="11" t="n">
        <v>41.9376861482256</v>
      </c>
      <c r="BC15" s="11" t="n">
        <v>42.6552047926454</v>
      </c>
      <c r="BD15" s="11" t="n">
        <v>43.4916531744185</v>
      </c>
      <c r="BE15" s="11" t="n">
        <v>43.8406938729828</v>
      </c>
      <c r="BF15" s="11" t="n">
        <v>44.262947291614</v>
      </c>
      <c r="BG15" s="11" t="n">
        <v>44.7396293243527</v>
      </c>
      <c r="BH15" s="11" t="n">
        <v>45.3273593206223</v>
      </c>
      <c r="BI15" s="11" t="n">
        <v>45.8511211539143</v>
      </c>
      <c r="BJ15" s="11" t="n">
        <v>46.4281224992709</v>
      </c>
      <c r="BK15" s="11" t="n">
        <v>46.9213834836491</v>
      </c>
      <c r="BL15" s="11" t="n">
        <v>47.3008624602716</v>
      </c>
      <c r="BM15" s="11" t="n">
        <v>47.8119751528518</v>
      </c>
      <c r="BN15" s="11" t="n">
        <v>217.666115613072</v>
      </c>
      <c r="BO15" s="11" t="n">
        <v>200.795479045574</v>
      </c>
      <c r="BP15" s="11" t="n">
        <v>204.186388795803</v>
      </c>
      <c r="BQ15" s="11" t="n">
        <v>213.475256395401</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7.29888881565863</v>
      </c>
      <c r="L16" s="11" t="n">
        <v>6.74965008724044</v>
      </c>
      <c r="M16" s="11" t="n">
        <v>5.96165299469253</v>
      </c>
      <c r="N16" s="11" t="n">
        <v>6.07622611866308</v>
      </c>
      <c r="O16" s="11" t="n">
        <v>5.8165000617974</v>
      </c>
      <c r="P16" s="11" t="n">
        <v>5.17351914195232</v>
      </c>
      <c r="Q16" s="11" t="n">
        <v>4.3457864800215</v>
      </c>
      <c r="R16" s="11" t="n">
        <v>4.18559867581597</v>
      </c>
      <c r="S16" s="11" t="n">
        <v>3.32599036920681</v>
      </c>
      <c r="T16" s="11" t="n">
        <v>2.9562338693275</v>
      </c>
      <c r="U16" s="11" t="n">
        <v>2.53705519258907</v>
      </c>
      <c r="V16" s="11" t="n">
        <v>1.91003713291075</v>
      </c>
      <c r="W16" s="11" t="n">
        <v>1.22774903416888</v>
      </c>
      <c r="X16" s="11" t="n">
        <v>1.13558384043056</v>
      </c>
      <c r="Y16" s="11" t="n">
        <v>1.05006812917393</v>
      </c>
      <c r="Z16" s="11" t="n">
        <v>0.403891460082564</v>
      </c>
      <c r="AA16" s="11" t="n">
        <v>0.505346373580899</v>
      </c>
      <c r="AB16" s="11" t="n">
        <v>0.398968456201681</v>
      </c>
      <c r="AC16" s="11" t="n">
        <v>0.0720308545919073</v>
      </c>
      <c r="AD16" s="11" t="n">
        <v>-0.0617161466723142</v>
      </c>
      <c r="AE16" s="11" t="n">
        <v>0.295045210907603</v>
      </c>
      <c r="AF16" s="11" t="n">
        <v>0.0212098248235195</v>
      </c>
      <c r="AG16" s="11" t="n">
        <v>0.684754591408554</v>
      </c>
      <c r="AH16" s="11" t="n">
        <v>0.551649018647838</v>
      </c>
      <c r="AI16" s="11" t="n">
        <v>0.401275637288966</v>
      </c>
      <c r="AJ16" s="11" t="n">
        <v>0.235021339974388</v>
      </c>
      <c r="AK16" s="11" t="n">
        <v>0.541752124764709</v>
      </c>
      <c r="AL16" s="11" t="n">
        <v>1.11971398879782</v>
      </c>
      <c r="AM16" s="11" t="n">
        <v>0.772473937745446</v>
      </c>
      <c r="AN16" s="11" t="n">
        <v>0.85338772111931</v>
      </c>
      <c r="AO16" s="11" t="n">
        <v>0.941803891439629</v>
      </c>
      <c r="AP16" s="11" t="n">
        <v>1.05249354242531</v>
      </c>
      <c r="AQ16" s="11" t="n">
        <v>1.03922145167634</v>
      </c>
      <c r="AR16" s="11" t="n">
        <v>1.18494290131125</v>
      </c>
      <c r="AS16" s="11" t="n">
        <v>1.33687784699157</v>
      </c>
      <c r="AT16" s="11" t="n">
        <v>1.59385231293396</v>
      </c>
      <c r="AU16" s="11" t="n">
        <v>1.8600063221481</v>
      </c>
      <c r="AV16" s="11" t="n">
        <v>2.18002045240814</v>
      </c>
      <c r="AW16" s="11" t="n">
        <v>2.52245540334349</v>
      </c>
      <c r="AX16" s="11" t="n">
        <v>2.86269668185091</v>
      </c>
      <c r="AY16" s="11" t="n">
        <v>3.1910595289671</v>
      </c>
      <c r="AZ16" s="11" t="n">
        <v>3.48110002502241</v>
      </c>
      <c r="BA16" s="11" t="n">
        <v>3.70278702304934</v>
      </c>
      <c r="BB16" s="11" t="n">
        <v>3.92197933803403</v>
      </c>
      <c r="BC16" s="11" t="n">
        <v>4.10534913163693</v>
      </c>
      <c r="BD16" s="11" t="n">
        <v>4.29487024454034</v>
      </c>
      <c r="BE16" s="11" t="n">
        <v>4.41276908506391</v>
      </c>
      <c r="BF16" s="11" t="n">
        <v>4.48241621455591</v>
      </c>
      <c r="BG16" s="11" t="n">
        <v>4.51963787513381</v>
      </c>
      <c r="BH16" s="11" t="n">
        <v>4.51963829708352</v>
      </c>
      <c r="BI16" s="11" t="n">
        <v>4.54417530675067</v>
      </c>
      <c r="BJ16" s="11" t="n">
        <v>4.5413256061281</v>
      </c>
      <c r="BK16" s="11" t="n">
        <v>4.4904485985796</v>
      </c>
      <c r="BL16" s="11" t="n">
        <v>4.432307529618</v>
      </c>
      <c r="BM16" s="11" t="n">
        <v>4.35862189668962</v>
      </c>
      <c r="BN16" s="11" t="n">
        <v>4.73987308152751</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70.2851382107242</v>
      </c>
      <c r="F17" s="11" t="n">
        <v>71.151851599193</v>
      </c>
      <c r="G17" s="11" t="n">
        <v>71.3100141105853</v>
      </c>
      <c r="H17" s="11" t="n">
        <v>71.9864210312014</v>
      </c>
      <c r="I17" s="11" t="n">
        <v>72.4678954520795</v>
      </c>
      <c r="J17" s="11" t="n">
        <v>73.1884732530741</v>
      </c>
      <c r="K17" s="11" t="n">
        <v>73.837094103762</v>
      </c>
      <c r="L17" s="11" t="n">
        <v>73.4280783971221</v>
      </c>
      <c r="M17" s="11" t="n">
        <v>73.0234035710687</v>
      </c>
      <c r="N17" s="11" t="n">
        <v>70.5019423640304</v>
      </c>
      <c r="O17" s="11" t="n">
        <v>67.7097679254949</v>
      </c>
      <c r="P17" s="11" t="n">
        <v>65.3994841446134</v>
      </c>
      <c r="Q17" s="11" t="n">
        <v>64.9403304902157</v>
      </c>
      <c r="R17" s="11" t="n">
        <v>61.4927753474448</v>
      </c>
      <c r="S17" s="11" t="n">
        <v>56.830230673088</v>
      </c>
      <c r="T17" s="11" t="n">
        <v>54.5724508834385</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23.2815089852245</v>
      </c>
      <c r="AG17" s="11" t="n">
        <v>23.1253245940442</v>
      </c>
      <c r="AH17" s="11" t="n">
        <v>22.6426622638462</v>
      </c>
      <c r="AI17" s="11" t="n">
        <v>21.1336177423037</v>
      </c>
      <c r="AJ17" s="11" t="n">
        <v>20.070118805901</v>
      </c>
      <c r="AK17" s="11" t="n">
        <v>19.9737418305989</v>
      </c>
      <c r="AL17" s="11" t="n">
        <v>19.8666312812048</v>
      </c>
      <c r="AM17" s="11" t="n">
        <v>19.0389138671954</v>
      </c>
      <c r="AN17" s="11" t="n">
        <v>18.6720516619882</v>
      </c>
      <c r="AO17" s="11" t="n">
        <v>18.2554886202007</v>
      </c>
      <c r="AP17" s="11" t="n">
        <v>18.567895163075</v>
      </c>
      <c r="AQ17" s="11" t="n">
        <v>17.5966501636035</v>
      </c>
      <c r="AR17" s="11" t="n">
        <v>16.7425537234689</v>
      </c>
      <c r="AS17" s="11" t="n">
        <v>15.9382259401972</v>
      </c>
      <c r="AT17" s="11" t="n">
        <v>15.2275184180952</v>
      </c>
      <c r="AU17" s="11" t="n">
        <v>14.6004148871288</v>
      </c>
      <c r="AV17" s="11" t="n">
        <v>14.048664442749</v>
      </c>
      <c r="AW17" s="11" t="n">
        <v>13.5668920883837</v>
      </c>
      <c r="AX17" s="11" t="n">
        <v>13.1473344474649</v>
      </c>
      <c r="AY17" s="11" t="n">
        <v>12.7820473750998</v>
      </c>
      <c r="AZ17" s="11" t="n">
        <v>12.4632483975166</v>
      </c>
      <c r="BA17" s="11" t="n">
        <v>12.1868367778312</v>
      </c>
      <c r="BB17" s="11" t="n">
        <v>11.9490548829467</v>
      </c>
      <c r="BC17" s="11" t="n">
        <v>11.7468389629804</v>
      </c>
      <c r="BD17" s="11" t="n">
        <v>11.6333884809098</v>
      </c>
      <c r="BE17" s="11" t="n">
        <v>11.5494610935101</v>
      </c>
      <c r="BF17" s="11" t="n">
        <v>11.4926011563282</v>
      </c>
      <c r="BG17" s="11" t="n">
        <v>11.460575465964</v>
      </c>
      <c r="BH17" s="11" t="n">
        <v>11.4521137642813</v>
      </c>
      <c r="BI17" s="11" t="n">
        <v>11.4639103903603</v>
      </c>
      <c r="BJ17" s="11" t="n">
        <v>11.4941094018036</v>
      </c>
      <c r="BK17" s="11" t="n">
        <v>11.5411882308021</v>
      </c>
      <c r="BL17" s="11" t="n">
        <v>11.6039467491324</v>
      </c>
      <c r="BM17" s="11" t="n">
        <v>11.6812776690764</v>
      </c>
      <c r="BN17" s="11" t="n">
        <v>94.4009805936641</v>
      </c>
      <c r="BO17" s="11" t="n">
        <v>80.1053631324936</v>
      </c>
      <c r="BP17" s="11" t="n">
        <v>66.0081867512141</v>
      </c>
      <c r="BQ17" s="11" t="n">
        <v>59.0655801981782</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291.258082063231</v>
      </c>
      <c r="AN18" s="11" t="n">
        <v>280.708449563639</v>
      </c>
      <c r="AO18" s="11" t="n">
        <v>269.284138822058</v>
      </c>
      <c r="AP18" s="11" t="n">
        <v>260.944676634395</v>
      </c>
      <c r="AQ18" s="11" t="n">
        <v>254.987163334907</v>
      </c>
      <c r="AR18" s="11" t="n">
        <v>251.383719594115</v>
      </c>
      <c r="AS18" s="11" t="n">
        <v>244.988234035828</v>
      </c>
      <c r="AT18" s="11" t="n">
        <v>238.523695430122</v>
      </c>
      <c r="AU18" s="11" t="n">
        <v>233.72138583947</v>
      </c>
      <c r="AV18" s="11" t="n">
        <v>230.137332146669</v>
      </c>
      <c r="AW18" s="11" t="n">
        <v>227.439386187446</v>
      </c>
      <c r="AX18" s="11" t="n">
        <v>225.590249628834</v>
      </c>
      <c r="AY18" s="11" t="n">
        <v>220.911244878167</v>
      </c>
      <c r="AZ18" s="11" t="n">
        <v>218.962756479318</v>
      </c>
      <c r="BA18" s="11" t="n">
        <v>217.574729216262</v>
      </c>
      <c r="BB18" s="11" t="n">
        <v>215.807500769884</v>
      </c>
      <c r="BC18" s="11" t="n">
        <v>215.05643386747</v>
      </c>
      <c r="BD18" s="11" t="n">
        <v>214.911070990497</v>
      </c>
      <c r="BE18" s="11" t="n">
        <v>214.797944290176</v>
      </c>
      <c r="BF18" s="11" t="n">
        <v>215.305402538962</v>
      </c>
      <c r="BG18" s="11" t="n">
        <v>216.319563064893</v>
      </c>
      <c r="BH18" s="11" t="n">
        <v>216.744011417737</v>
      </c>
      <c r="BI18" s="11" t="n">
        <v>217.939351899609</v>
      </c>
      <c r="BJ18" s="11" t="n">
        <v>219.062471259653</v>
      </c>
      <c r="BK18" s="11" t="n">
        <v>218.577597454505</v>
      </c>
      <c r="BL18" s="11" t="n">
        <v>216.491367246418</v>
      </c>
      <c r="BM18" s="11" t="n">
        <v>216.396071689475</v>
      </c>
      <c r="BN18" s="11" t="n">
        <v>1405.01409308241</v>
      </c>
      <c r="BO18" s="11" t="n">
        <v>1223.60419823444</v>
      </c>
      <c r="BP18" s="11" t="n">
        <v>1123.04096932043</v>
      </c>
      <c r="BQ18" s="11" t="n">
        <v>1078.14767913429</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111.847053547748</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66.6756343230592</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v>
      </c>
      <c r="AM19" s="11" t="n">
        <v>55.5125021428063</v>
      </c>
      <c r="AN19" s="11" t="n">
        <v>54.6759983051237</v>
      </c>
      <c r="AO19" s="11" t="n">
        <v>53.9876467775771</v>
      </c>
      <c r="AP19" s="11" t="n">
        <v>54.1096502185422</v>
      </c>
      <c r="AQ19" s="11" t="n">
        <v>52.9051138683223</v>
      </c>
      <c r="AR19" s="11" t="n">
        <v>51.9090640648355</v>
      </c>
      <c r="AS19" s="11" t="n">
        <v>50.9079640091903</v>
      </c>
      <c r="AT19" s="11" t="n">
        <v>49.9636352158787</v>
      </c>
      <c r="AU19" s="11" t="n">
        <v>49.0229470697219</v>
      </c>
      <c r="AV19" s="11" t="n">
        <v>48.1712330221967</v>
      </c>
      <c r="AW19" s="11" t="n">
        <v>47.4360622812744</v>
      </c>
      <c r="AX19" s="11" t="n">
        <v>46.7124973456363</v>
      </c>
      <c r="AY19" s="11" t="n">
        <v>45.9925204034271</v>
      </c>
      <c r="AZ19" s="11" t="n">
        <v>45.3055777675443</v>
      </c>
      <c r="BA19" s="11" t="n">
        <v>44.7213984110529</v>
      </c>
      <c r="BB19" s="11" t="n">
        <v>44.1554810386199</v>
      </c>
      <c r="BC19" s="11" t="n">
        <v>43.6330438874828</v>
      </c>
      <c r="BD19" s="11" t="n">
        <v>43.117948667789</v>
      </c>
      <c r="BE19" s="11" t="n">
        <v>42.6429239734817</v>
      </c>
      <c r="BF19" s="11" t="n">
        <v>42.2334589562888</v>
      </c>
      <c r="BG19" s="11" t="n">
        <v>41.8411534964316</v>
      </c>
      <c r="BH19" s="11" t="n">
        <v>41.4712590093193</v>
      </c>
      <c r="BI19" s="11" t="n">
        <v>41.1182368594863</v>
      </c>
      <c r="BJ19" s="11" t="n">
        <v>40.7762348200741</v>
      </c>
      <c r="BK19" s="11" t="n">
        <v>40.4541297043196</v>
      </c>
      <c r="BL19" s="11" t="n">
        <v>40.156475640494</v>
      </c>
      <c r="BM19" s="11" t="n">
        <v>39.8809151512925</v>
      </c>
      <c r="BN19" s="11" t="n">
        <v>275.301255414717</v>
      </c>
      <c r="BO19" s="11" t="n">
        <v>254.708724227949</v>
      </c>
      <c r="BP19" s="11" t="n">
        <v>233.617890820079</v>
      </c>
      <c r="BQ19" s="11" t="n">
        <v>218.270795978426</v>
      </c>
    </row>
    <row r="20" customFormat="false" ht="13.8" hidden="false" customHeight="false" outlineLevel="0" collapsed="false">
      <c r="A20" s="11" t="s">
        <v>155</v>
      </c>
      <c r="B20" s="11" t="s">
        <v>138</v>
      </c>
      <c r="C20" s="11" t="s">
        <v>139</v>
      </c>
      <c r="D20" s="12"/>
      <c r="E20" s="11" t="n">
        <v>44.0704550397255</v>
      </c>
      <c r="F20" s="11" t="n">
        <v>44.1797412823124</v>
      </c>
      <c r="G20" s="11" t="n">
        <v>39.6961971076383</v>
      </c>
      <c r="H20" s="11" t="n">
        <v>35.8885563050247</v>
      </c>
      <c r="I20" s="11" t="n">
        <v>36.4843849417418</v>
      </c>
      <c r="J20" s="11" t="n">
        <v>35.2609430810058</v>
      </c>
      <c r="K20" s="11" t="n">
        <v>35.2373807644579</v>
      </c>
      <c r="L20" s="11" t="n">
        <v>35.4827508380865</v>
      </c>
      <c r="M20" s="11" t="n">
        <v>35.5123899483833</v>
      </c>
      <c r="N20" s="11" t="n">
        <v>26.9725209280125</v>
      </c>
      <c r="O20" s="11" t="n">
        <v>26.4401263932034</v>
      </c>
      <c r="P20" s="11" t="n">
        <v>25.1975850754958</v>
      </c>
      <c r="Q20" s="11" t="n">
        <v>23.6909797075244</v>
      </c>
      <c r="R20" s="11" t="n">
        <v>23.3321043111328</v>
      </c>
      <c r="S20" s="11" t="n">
        <v>23.8193639895213</v>
      </c>
      <c r="T20" s="11" t="n">
        <v>22.8993495466567</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20.1970291565975</v>
      </c>
      <c r="AD20" s="11" t="n">
        <v>20.0764785825238</v>
      </c>
      <c r="AE20" s="11" t="n">
        <v>19.6185628297959</v>
      </c>
      <c r="AF20" s="11" t="n">
        <v>19.8843934118169</v>
      </c>
      <c r="AG20" s="11" t="n">
        <v>19.761921421575</v>
      </c>
      <c r="AH20" s="11" t="n">
        <v>19.8144066150671</v>
      </c>
      <c r="AI20" s="11" t="n">
        <v>18.779891993834</v>
      </c>
      <c r="AJ20" s="11" t="n">
        <v>19.1537538803101</v>
      </c>
      <c r="AK20" s="11" t="n">
        <v>18.2676513371754</v>
      </c>
      <c r="AL20" s="11" t="n">
        <v>18.0936851388269</v>
      </c>
      <c r="AM20" s="11" t="n">
        <v>18.3770548739276</v>
      </c>
      <c r="AN20" s="11" t="n">
        <v>18.3516470345915</v>
      </c>
      <c r="AO20" s="11" t="n">
        <v>18.3272163055576</v>
      </c>
      <c r="AP20" s="11" t="n">
        <v>18.2796451128491</v>
      </c>
      <c r="AQ20" s="11" t="n">
        <v>18.1677948822679</v>
      </c>
      <c r="AR20" s="11" t="n">
        <v>18.1426552753717</v>
      </c>
      <c r="AS20" s="11" t="n">
        <v>18.095936317128</v>
      </c>
      <c r="AT20" s="11" t="n">
        <v>18.015463016699</v>
      </c>
      <c r="AU20" s="11" t="n">
        <v>17.8709009365693</v>
      </c>
      <c r="AV20" s="11" t="n">
        <v>17.7840229835942</v>
      </c>
      <c r="AW20" s="11" t="n">
        <v>17.7117559941545</v>
      </c>
      <c r="AX20" s="11" t="n">
        <v>17.6094682570006</v>
      </c>
      <c r="AY20" s="11" t="n">
        <v>17.5079490952639</v>
      </c>
      <c r="AZ20" s="11" t="n">
        <v>17.3256475482734</v>
      </c>
      <c r="BA20" s="11" t="n">
        <v>17.2525475443871</v>
      </c>
      <c r="BB20" s="11" t="n">
        <v>17.1710964933181</v>
      </c>
      <c r="BC20" s="11" t="n">
        <v>17.0982340130112</v>
      </c>
      <c r="BD20" s="11" t="n">
        <v>17.0186540812788</v>
      </c>
      <c r="BE20" s="11" t="n">
        <v>16.9452925644984</v>
      </c>
      <c r="BF20" s="11" t="n">
        <v>16.8868770041856</v>
      </c>
      <c r="BG20" s="11" t="n">
        <v>16.8276228712776</v>
      </c>
      <c r="BH20" s="11" t="n">
        <v>16.7755473869393</v>
      </c>
      <c r="BI20" s="11" t="n">
        <v>16.7285437539561</v>
      </c>
      <c r="BJ20" s="11" t="n">
        <v>16.6802496403172</v>
      </c>
      <c r="BK20" s="11" t="n">
        <v>16.6281240235899</v>
      </c>
      <c r="BL20" s="11" t="n">
        <v>16.5787744883263</v>
      </c>
      <c r="BM20" s="11" t="n">
        <v>16.5316745707509</v>
      </c>
      <c r="BN20" s="11" t="n">
        <v>91.4292484657526</v>
      </c>
      <c r="BO20" s="11" t="n">
        <v>90.2927504280359</v>
      </c>
      <c r="BP20" s="11" t="n">
        <v>87.9388438782867</v>
      </c>
      <c r="BQ20" s="11" t="n">
        <v>85.4858246964936</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10.4979550302191</v>
      </c>
      <c r="Z21" s="11" t="n">
        <v>11.0654107151362</v>
      </c>
      <c r="AA21" s="11" t="n">
        <v>11.5161328830887</v>
      </c>
      <c r="AB21" s="11" t="n">
        <v>11.6114703501195</v>
      </c>
      <c r="AC21" s="11" t="n">
        <v>11.1356108294494</v>
      </c>
      <c r="AD21" s="11" t="n">
        <v>10.9498065093755</v>
      </c>
      <c r="AE21" s="11" t="n">
        <v>10.6141423946229</v>
      </c>
      <c r="AF21" s="11" t="n">
        <v>10.121289044966</v>
      </c>
      <c r="AG21" s="11" t="n">
        <v>9.66952181906882</v>
      </c>
      <c r="AH21" s="11" t="n">
        <v>8.98580877911218</v>
      </c>
      <c r="AI21" s="11" t="n">
        <v>8.15976812106435</v>
      </c>
      <c r="AJ21" s="11" t="n">
        <v>7.58436627904264</v>
      </c>
      <c r="AK21" s="11" t="n">
        <v>7.06898863688572</v>
      </c>
      <c r="AL21" s="11" t="n">
        <v>6.59748890429982</v>
      </c>
      <c r="AM21" s="11" t="n">
        <v>6.14657126839515</v>
      </c>
      <c r="AN21" s="11" t="n">
        <v>5.78995641676736</v>
      </c>
      <c r="AO21" s="11" t="n">
        <v>5.45582110094932</v>
      </c>
      <c r="AP21" s="11" t="n">
        <v>5.13969410232909</v>
      </c>
      <c r="AQ21" s="11" t="n">
        <v>4.83421727365179</v>
      </c>
      <c r="AR21" s="11" t="n">
        <v>4.55598570157372</v>
      </c>
      <c r="AS21" s="11" t="n">
        <v>4.31470265813777</v>
      </c>
      <c r="AT21" s="11" t="n">
        <v>4.09884472060176</v>
      </c>
      <c r="AU21" s="11" t="n">
        <v>3.89091088317771</v>
      </c>
      <c r="AV21" s="11" t="n">
        <v>3.70734813175857</v>
      </c>
      <c r="AW21" s="11" t="n">
        <v>3.53638632023551</v>
      </c>
      <c r="AX21" s="11" t="n">
        <v>3.38044042697567</v>
      </c>
      <c r="AY21" s="11" t="n">
        <v>3.24624656805012</v>
      </c>
      <c r="AZ21" s="11" t="n">
        <v>3.14013667374679</v>
      </c>
      <c r="BA21" s="11" t="n">
        <v>3.06190005083168</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1.48366130882975</v>
      </c>
      <c r="F22" s="11" t="n">
        <v>1.24305334298279</v>
      </c>
      <c r="G22" s="11" t="n">
        <v>0.617640551647897</v>
      </c>
      <c r="H22" s="11" t="n">
        <v>0.538700846476154</v>
      </c>
      <c r="I22" s="11" t="n">
        <v>0.546409279966551</v>
      </c>
      <c r="J22" s="11" t="n">
        <v>0.533270281772292</v>
      </c>
      <c r="K22" s="11" t="n">
        <v>0.531928867885412</v>
      </c>
      <c r="L22" s="11" t="n">
        <v>0.44692564402011</v>
      </c>
      <c r="M22" s="11" t="n">
        <v>0.43528910732139</v>
      </c>
      <c r="N22" s="11" t="n">
        <v>0.412312802276656</v>
      </c>
      <c r="O22" s="11" t="n">
        <v>0.51862161306472</v>
      </c>
      <c r="P22" s="11" t="n">
        <v>0.432138729457178</v>
      </c>
      <c r="Q22" s="11" t="n">
        <v>0.364067786446408</v>
      </c>
      <c r="R22" s="11" t="n">
        <v>0.318513971049458</v>
      </c>
      <c r="S22" s="11" t="n">
        <v>0.402942811428176</v>
      </c>
      <c r="T22" s="11" t="n">
        <v>0.368307653921605</v>
      </c>
      <c r="U22" s="11" t="n">
        <v>0.369821205860997</v>
      </c>
      <c r="V22" s="11" t="n">
        <v>0.277694286963564</v>
      </c>
      <c r="W22" s="11" t="n">
        <v>0.255311612882481</v>
      </c>
      <c r="X22" s="11" t="n">
        <v>0.195240026958578</v>
      </c>
      <c r="Y22" s="11" t="n">
        <v>0.281496039558142</v>
      </c>
      <c r="Z22" s="11" t="n">
        <v>0.399303588048535</v>
      </c>
      <c r="AA22" s="11" t="n">
        <v>0.243138181819986</v>
      </c>
      <c r="AB22" s="11" t="n">
        <v>0.294217429839836</v>
      </c>
      <c r="AC22" s="11" t="n">
        <v>0.23782779605641</v>
      </c>
      <c r="AD22" s="11" t="n">
        <v>0.274427975434271</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0.145322964863699</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0.788373788456026</v>
      </c>
      <c r="BP22" s="11" t="n">
        <v>0.788373788456026</v>
      </c>
      <c r="BQ22" s="11" t="n">
        <v>0.788373788456026</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0.426418736992623</v>
      </c>
      <c r="AE23" s="11" t="n">
        <v>0.458386532676318</v>
      </c>
      <c r="AF23" s="11" t="n">
        <v>0.460093295564997</v>
      </c>
      <c r="AG23" s="11" t="n">
        <v>0.565037427403676</v>
      </c>
      <c r="AH23" s="11" t="n">
        <v>0.49719676355469</v>
      </c>
      <c r="AI23" s="11" t="n">
        <v>0.425406162786779</v>
      </c>
      <c r="AJ23" s="11" t="n">
        <v>0.38749956929647</v>
      </c>
      <c r="AK23" s="11" t="n">
        <v>0.333442729385777</v>
      </c>
      <c r="AL23" s="11" t="n">
        <v>0.301791676439176</v>
      </c>
      <c r="AM23" s="11" t="n">
        <v>0.307854862676676</v>
      </c>
      <c r="AN23" s="11" t="n">
        <v>0.314290204270113</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0.372815184884234</v>
      </c>
      <c r="AW23" s="11" t="n">
        <v>0.380977508595361</v>
      </c>
      <c r="AX23" s="11" t="n">
        <v>0.389343890399265</v>
      </c>
      <c r="AY23" s="11" t="n">
        <v>0.389343890399265</v>
      </c>
      <c r="AZ23" s="11" t="n">
        <v>0.389343890399265</v>
      </c>
      <c r="BA23" s="11" t="n">
        <v>0.389343890399265</v>
      </c>
      <c r="BB23" s="11" t="n">
        <v>0.389343890399265</v>
      </c>
      <c r="BC23" s="11" t="n">
        <v>0.389343890399265</v>
      </c>
      <c r="BD23" s="11" t="n">
        <v>0.389343890399265</v>
      </c>
      <c r="BE23" s="11" t="n">
        <v>0.389343890399265</v>
      </c>
      <c r="BF23" s="11" t="n">
        <v>0.389343890399265</v>
      </c>
      <c r="BG23" s="11" t="n">
        <v>0.389343890399265</v>
      </c>
      <c r="BH23" s="11" t="n">
        <v>0.389343890399265</v>
      </c>
      <c r="BI23" s="11" t="n">
        <v>0.389343890399265</v>
      </c>
      <c r="BJ23" s="11" t="n">
        <v>0.389343890399265</v>
      </c>
      <c r="BK23" s="11" t="n">
        <v>0.389343890399265</v>
      </c>
      <c r="BL23" s="11" t="n">
        <v>0.389343890399265</v>
      </c>
      <c r="BM23" s="11" t="n">
        <v>0.389343890399265</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333.205979156191</v>
      </c>
      <c r="AN25" s="11" t="n">
        <v>322.424232889915</v>
      </c>
      <c r="AO25" s="11" t="n">
        <v>309.615858787603</v>
      </c>
      <c r="AP25" s="11" t="n">
        <v>300.639418856803</v>
      </c>
      <c r="AQ25" s="11" t="n">
        <v>293.907913855502</v>
      </c>
      <c r="AR25" s="11" t="n">
        <v>290.65014198498</v>
      </c>
      <c r="AS25" s="11" t="n">
        <v>283.397443787521</v>
      </c>
      <c r="AT25" s="11" t="n">
        <v>276.968185014553</v>
      </c>
      <c r="AU25" s="11" t="n">
        <v>271.925104473232</v>
      </c>
      <c r="AV25" s="11" t="n">
        <v>267.765118090661</v>
      </c>
      <c r="AW25" s="11" t="n">
        <v>264.656024852801</v>
      </c>
      <c r="AX25" s="11" t="n">
        <v>262.688395975874</v>
      </c>
      <c r="AY25" s="11" t="n">
        <v>257.500402751981</v>
      </c>
      <c r="AZ25" s="11" t="n">
        <v>254.880977836721</v>
      </c>
      <c r="BA25" s="11" t="n">
        <v>253.38842667032</v>
      </c>
      <c r="BB25" s="11" t="n">
        <v>251.709094609861</v>
      </c>
      <c r="BC25" s="11" t="n">
        <v>250.742131583328</v>
      </c>
      <c r="BD25" s="11" t="n">
        <v>251.071713016519</v>
      </c>
      <c r="BE25" s="11" t="n">
        <v>251.485492741144</v>
      </c>
      <c r="BF25" s="11" t="n">
        <v>251.929089511275</v>
      </c>
      <c r="BG25" s="11" t="n">
        <v>252.655291260827</v>
      </c>
      <c r="BH25" s="11" t="n">
        <v>252.636020519262</v>
      </c>
      <c r="BI25" s="11" t="n">
        <v>253.360815015596</v>
      </c>
      <c r="BJ25" s="11" t="n">
        <v>253.797067822696</v>
      </c>
      <c r="BK25" s="11" t="n">
        <v>253.512157671817</v>
      </c>
      <c r="BL25" s="11" t="n">
        <v>250.334834133261</v>
      </c>
      <c r="BM25" s="11" t="n">
        <v>249.703166381121</v>
      </c>
      <c r="BN25" s="11" t="n">
        <v>1607.81963821977</v>
      </c>
      <c r="BO25" s="11" t="n">
        <v>1416.84878911579</v>
      </c>
      <c r="BP25" s="11" t="n">
        <v>1307.49091950804</v>
      </c>
      <c r="BQ25" s="11" t="n">
        <v>1258.39685862117</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140.220832717651</v>
      </c>
      <c r="J26" s="11" t="n">
        <v>141.62570447565</v>
      </c>
      <c r="K26" s="11" t="n">
        <v>141.138614388231</v>
      </c>
      <c r="L26" s="11" t="n">
        <v>138.524436182827</v>
      </c>
      <c r="M26" s="11" t="n">
        <v>135.462212228555</v>
      </c>
      <c r="N26" s="11" t="n">
        <v>129.859065263225</v>
      </c>
      <c r="O26" s="11" t="n">
        <v>123.920486839629</v>
      </c>
      <c r="P26" s="11" t="n">
        <v>118.64001130189</v>
      </c>
      <c r="Q26" s="11" t="n">
        <v>116.77678020067</v>
      </c>
      <c r="R26" s="11" t="n">
        <v>111.853160224235</v>
      </c>
      <c r="S26" s="11" t="n">
        <v>107.03393682204</v>
      </c>
      <c r="T26" s="11" t="n">
        <v>102.664117491926</v>
      </c>
      <c r="U26" s="11" t="n">
        <v>99.2297893209561</v>
      </c>
      <c r="V26" s="11" t="n">
        <v>94.7753153178419</v>
      </c>
      <c r="W26" s="11" t="n">
        <v>88.4981359307023</v>
      </c>
      <c r="X26" s="11" t="n">
        <v>83.9244036183387</v>
      </c>
      <c r="Y26" s="11" t="n">
        <v>78.667322755185</v>
      </c>
      <c r="Z26" s="11" t="n">
        <v>75.6712751364844</v>
      </c>
      <c r="AA26" s="11" t="n">
        <v>73.8280122064821</v>
      </c>
      <c r="AB26" s="11" t="n">
        <v>68.980177011707</v>
      </c>
      <c r="AC26" s="11" t="n">
        <v>66.6821086932931</v>
      </c>
      <c r="AD26" s="11" t="n">
        <v>65.4783580021182</v>
      </c>
      <c r="AE26" s="11" t="n">
        <v>63.0801894570004</v>
      </c>
      <c r="AF26" s="11" t="n">
        <v>63.35861040571</v>
      </c>
      <c r="AG26" s="11" t="n">
        <v>62.7602337118584</v>
      </c>
      <c r="AH26" s="11" t="n">
        <v>62.4134940187284</v>
      </c>
      <c r="AI26" s="11" t="n">
        <v>59.9984424095154</v>
      </c>
      <c r="AJ26" s="11" t="n">
        <v>58.7276734594613</v>
      </c>
      <c r="AK26" s="11" t="n">
        <v>58.0898467243932</v>
      </c>
      <c r="AL26" s="11" t="n">
        <v>57.0200585910277</v>
      </c>
      <c r="AM26" s="11" t="n">
        <v>55.5172665586158</v>
      </c>
      <c r="AN26" s="11" t="n">
        <v>54.6807038412925</v>
      </c>
      <c r="AO26" s="11" t="n">
        <v>53.9922319506442</v>
      </c>
      <c r="AP26" s="11" t="n">
        <v>54.1141655430946</v>
      </c>
      <c r="AQ26" s="11" t="n">
        <v>52.9095517721617</v>
      </c>
      <c r="AR26" s="11" t="n">
        <v>51.9135087427753</v>
      </c>
      <c r="AS26" s="11" t="n">
        <v>50.9123267193223</v>
      </c>
      <c r="AT26" s="11" t="n">
        <v>49.9679823641851</v>
      </c>
      <c r="AU26" s="11" t="n">
        <v>49.027260778745</v>
      </c>
      <c r="AV26" s="11" t="n">
        <v>48.1754866092735</v>
      </c>
      <c r="AW26" s="11" t="n">
        <v>47.4402676142343</v>
      </c>
      <c r="AX26" s="11" t="n">
        <v>46.716681111037</v>
      </c>
      <c r="AY26" s="11" t="n">
        <v>45.9966592803723</v>
      </c>
      <c r="AZ26" s="11" t="n">
        <v>45.3096602330388</v>
      </c>
      <c r="BA26" s="11" t="n">
        <v>44.7254593544747</v>
      </c>
      <c r="BB26" s="11" t="n">
        <v>44.1595379575368</v>
      </c>
      <c r="BC26" s="11" t="n">
        <v>43.637070466863</v>
      </c>
      <c r="BD26" s="11" t="n">
        <v>43.1219928070565</v>
      </c>
      <c r="BE26" s="11" t="n">
        <v>42.6469876498061</v>
      </c>
      <c r="BF26" s="11" t="n">
        <v>42.2374491378489</v>
      </c>
      <c r="BG26" s="11" t="n">
        <v>41.8450495709187</v>
      </c>
      <c r="BH26" s="11" t="n">
        <v>41.4750499127313</v>
      </c>
      <c r="BI26" s="11" t="n">
        <v>41.12192174665</v>
      </c>
      <c r="BJ26" s="11" t="n">
        <v>40.77979772278</v>
      </c>
      <c r="BK26" s="11" t="n">
        <v>40.4576360435873</v>
      </c>
      <c r="BL26" s="11" t="n">
        <v>40.1598353776797</v>
      </c>
      <c r="BM26" s="11" t="n">
        <v>39.8841724013424</v>
      </c>
      <c r="BN26" s="11" t="n">
        <v>275.324426484675</v>
      </c>
      <c r="BO26" s="11" t="n">
        <v>254.730630377189</v>
      </c>
      <c r="BP26" s="11" t="n">
        <v>233.638754847956</v>
      </c>
      <c r="BQ26" s="11" t="n">
        <v>218.291048235737</v>
      </c>
    </row>
    <row r="27" customFormat="false" ht="13.8" hidden="false" customHeight="false" outlineLevel="0" collapsed="false">
      <c r="A27" s="11" t="s">
        <v>155</v>
      </c>
      <c r="B27" s="11" t="s">
        <v>140</v>
      </c>
      <c r="C27" s="11" t="s">
        <v>139</v>
      </c>
      <c r="D27" s="12"/>
      <c r="E27" s="11" t="n">
        <v>44.3002234775336</v>
      </c>
      <c r="F27" s="11" t="n">
        <v>44.4052277252299</v>
      </c>
      <c r="G27" s="11" t="n">
        <v>39.9378274497614</v>
      </c>
      <c r="H27" s="11" t="n">
        <v>36.1377812173721</v>
      </c>
      <c r="I27" s="11" t="n">
        <v>36.733575590136</v>
      </c>
      <c r="J27" s="11" t="n">
        <v>35.5262647513158</v>
      </c>
      <c r="K27" s="11" t="n">
        <v>35.5202840220701</v>
      </c>
      <c r="L27" s="11" t="n">
        <v>35.7888793937191</v>
      </c>
      <c r="M27" s="11" t="n">
        <v>35.8446693081235</v>
      </c>
      <c r="N27" s="11" t="n">
        <v>27.2931949805531</v>
      </c>
      <c r="O27" s="11" t="n">
        <v>26.7745080049933</v>
      </c>
      <c r="P27" s="11" t="n">
        <v>25.5332295216333</v>
      </c>
      <c r="Q27" s="11" t="n">
        <v>24.0080781455952</v>
      </c>
      <c r="R27" s="11" t="n">
        <v>23.6493473576149</v>
      </c>
      <c r="S27" s="11" t="n">
        <v>24.1732056787632</v>
      </c>
      <c r="T27" s="11" t="n">
        <v>23.2738708129377</v>
      </c>
      <c r="U27" s="11" t="n">
        <v>22.3723859735233</v>
      </c>
      <c r="V27" s="11" t="n">
        <v>22.3871776205364</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20.0055547697637</v>
      </c>
      <c r="AF27" s="11" t="n">
        <v>20.2878791430463</v>
      </c>
      <c r="AG27" s="11" t="n">
        <v>20.1618254992518</v>
      </c>
      <c r="AH27" s="11" t="n">
        <v>20.2029843423827</v>
      </c>
      <c r="AI27" s="11" t="n">
        <v>18.9789878158805</v>
      </c>
      <c r="AJ27" s="11" t="n">
        <v>19.343581552368</v>
      </c>
      <c r="AK27" s="11" t="n">
        <v>18.5808205022007</v>
      </c>
      <c r="AL27" s="11" t="n">
        <v>18.4485657982639</v>
      </c>
      <c r="AM27" s="11" t="n">
        <v>18.7554415585809</v>
      </c>
      <c r="AN27" s="11" t="n">
        <v>18.7275190459801</v>
      </c>
      <c r="AO27" s="11" t="n">
        <v>18.6910803734112</v>
      </c>
      <c r="AP27" s="11" t="n">
        <v>18.6377957377022</v>
      </c>
      <c r="AQ27" s="11" t="n">
        <v>18.519099569161</v>
      </c>
      <c r="AR27" s="11" t="n">
        <v>18.4966575229512</v>
      </c>
      <c r="AS27" s="11" t="n">
        <v>18.4424054359047</v>
      </c>
      <c r="AT27" s="11" t="n">
        <v>18.3619970595213</v>
      </c>
      <c r="AU27" s="11" t="n">
        <v>18.215184261837</v>
      </c>
      <c r="AV27" s="11" t="n">
        <v>18.123179672541</v>
      </c>
      <c r="AW27" s="11" t="n">
        <v>18.0471838259596</v>
      </c>
      <c r="AX27" s="11" t="n">
        <v>17.9437222686261</v>
      </c>
      <c r="AY27" s="11" t="n">
        <v>17.8377791024173</v>
      </c>
      <c r="AZ27" s="11" t="n">
        <v>17.6496816580915</v>
      </c>
      <c r="BA27" s="11" t="n">
        <v>17.5755138863547</v>
      </c>
      <c r="BB27" s="11" t="n">
        <v>17.494674369345</v>
      </c>
      <c r="BC27" s="11" t="n">
        <v>17.4197891053561</v>
      </c>
      <c r="BD27" s="11" t="n">
        <v>17.3440223787584</v>
      </c>
      <c r="BE27" s="11" t="n">
        <v>17.2748919823992</v>
      </c>
      <c r="BF27" s="11" t="n">
        <v>17.2150428886109</v>
      </c>
      <c r="BG27" s="11" t="n">
        <v>17.1523964349085</v>
      </c>
      <c r="BH27" s="11" t="n">
        <v>17.0956093966608</v>
      </c>
      <c r="BI27" s="11" t="n">
        <v>17.0436807223826</v>
      </c>
      <c r="BJ27" s="11" t="n">
        <v>16.988621612181</v>
      </c>
      <c r="BK27" s="11" t="n">
        <v>16.9372735507584</v>
      </c>
      <c r="BL27" s="11" t="n">
        <v>16.8777883806887</v>
      </c>
      <c r="BM27" s="11" t="n">
        <v>16.8253121080059</v>
      </c>
      <c r="BN27" s="11" t="n">
        <v>93.2604025139383</v>
      </c>
      <c r="BO27" s="11" t="n">
        <v>92.0353438493752</v>
      </c>
      <c r="BP27" s="11" t="n">
        <v>89.6015465276355</v>
      </c>
      <c r="BQ27" s="11" t="n">
        <v>87.1088917222134</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10.4979550302191</v>
      </c>
      <c r="Z28" s="11" t="n">
        <v>11.0654107151362</v>
      </c>
      <c r="AA28" s="11" t="n">
        <v>11.5161328830887</v>
      </c>
      <c r="AB28" s="11" t="n">
        <v>11.6114703501195</v>
      </c>
      <c r="AC28" s="11" t="n">
        <v>11.1356108294494</v>
      </c>
      <c r="AD28" s="11" t="n">
        <v>10.9498065093755</v>
      </c>
      <c r="AE28" s="11" t="n">
        <v>10.6141423946229</v>
      </c>
      <c r="AF28" s="11" t="n">
        <v>10.121289044966</v>
      </c>
      <c r="AG28" s="11" t="n">
        <v>9.66952181906882</v>
      </c>
      <c r="AH28" s="11" t="n">
        <v>8.98580877911218</v>
      </c>
      <c r="AI28" s="11" t="n">
        <v>8.15976812106435</v>
      </c>
      <c r="AJ28" s="11" t="n">
        <v>7.58436627904264</v>
      </c>
      <c r="AK28" s="11" t="n">
        <v>7.06898863688572</v>
      </c>
      <c r="AL28" s="11" t="n">
        <v>6.59748890429982</v>
      </c>
      <c r="AM28" s="11" t="n">
        <v>6.14657126839515</v>
      </c>
      <c r="AN28" s="11" t="n">
        <v>5.78995641676736</v>
      </c>
      <c r="AO28" s="11" t="n">
        <v>5.45582110094932</v>
      </c>
      <c r="AP28" s="11" t="n">
        <v>5.13969410232909</v>
      </c>
      <c r="AQ28" s="11" t="n">
        <v>4.83421727365179</v>
      </c>
      <c r="AR28" s="11" t="n">
        <v>4.55598570157372</v>
      </c>
      <c r="AS28" s="11" t="n">
        <v>4.31470265813777</v>
      </c>
      <c r="AT28" s="11" t="n">
        <v>4.09884472060176</v>
      </c>
      <c r="AU28" s="11" t="n">
        <v>3.89091088317771</v>
      </c>
      <c r="AV28" s="11" t="n">
        <v>3.70734813175857</v>
      </c>
      <c r="AW28" s="11" t="n">
        <v>3.53638632023551</v>
      </c>
      <c r="AX28" s="11" t="n">
        <v>3.38044042697567</v>
      </c>
      <c r="AY28" s="11" t="n">
        <v>3.24624656805012</v>
      </c>
      <c r="AZ28" s="11" t="n">
        <v>3.14013667374679</v>
      </c>
      <c r="BA28" s="11" t="n">
        <v>3.06190005083168</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1.48366130882975</v>
      </c>
      <c r="F29" s="11" t="n">
        <v>1.24305334298279</v>
      </c>
      <c r="G29" s="11" t="n">
        <v>0.617640551647897</v>
      </c>
      <c r="H29" s="11" t="n">
        <v>0.538700846476154</v>
      </c>
      <c r="I29" s="11" t="n">
        <v>0.546409279966551</v>
      </c>
      <c r="J29" s="11" t="n">
        <v>0.533270281772292</v>
      </c>
      <c r="K29" s="11" t="n">
        <v>0.531928867885412</v>
      </c>
      <c r="L29" s="11" t="n">
        <v>0.44692564402011</v>
      </c>
      <c r="M29" s="11" t="n">
        <v>0.43528910732139</v>
      </c>
      <c r="N29" s="11" t="n">
        <v>0.412312802276656</v>
      </c>
      <c r="O29" s="11" t="n">
        <v>0.51862161306472</v>
      </c>
      <c r="P29" s="11" t="n">
        <v>0.432138729457178</v>
      </c>
      <c r="Q29" s="11" t="n">
        <v>0.364067786446408</v>
      </c>
      <c r="R29" s="11" t="n">
        <v>0.318513971049458</v>
      </c>
      <c r="S29" s="11" t="n">
        <v>0.402942811428176</v>
      </c>
      <c r="T29" s="11" t="n">
        <v>0.368307653921605</v>
      </c>
      <c r="U29" s="11" t="n">
        <v>0.369821205860997</v>
      </c>
      <c r="V29" s="11" t="n">
        <v>0.277694286963564</v>
      </c>
      <c r="W29" s="11" t="n">
        <v>0.255311612882481</v>
      </c>
      <c r="X29" s="11" t="n">
        <v>0.195240026958578</v>
      </c>
      <c r="Y29" s="11" t="n">
        <v>0.281496039558142</v>
      </c>
      <c r="Z29" s="11" t="n">
        <v>0.399303588048535</v>
      </c>
      <c r="AA29" s="11" t="n">
        <v>0.243138181819986</v>
      </c>
      <c r="AB29" s="11" t="n">
        <v>0.294217429839836</v>
      </c>
      <c r="AC29" s="11" t="n">
        <v>0.23782779605641</v>
      </c>
      <c r="AD29" s="11" t="n">
        <v>0.274427975434271</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0.145322964863699</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0.788373788456026</v>
      </c>
      <c r="BP29" s="11" t="n">
        <v>0.788373788456026</v>
      </c>
      <c r="BQ29" s="11" t="n">
        <v>0.788373788456026</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0.426418736992623</v>
      </c>
      <c r="AE30" s="11" t="n">
        <v>0.458386532676318</v>
      </c>
      <c r="AF30" s="11" t="n">
        <v>0.460093295564997</v>
      </c>
      <c r="AG30" s="11" t="n">
        <v>0.565037427403676</v>
      </c>
      <c r="AH30" s="11" t="n">
        <v>0.49719676355469</v>
      </c>
      <c r="AI30" s="11" t="n">
        <v>0.425406162786779</v>
      </c>
      <c r="AJ30" s="11" t="n">
        <v>0.38749956929647</v>
      </c>
      <c r="AK30" s="11" t="n">
        <v>0.333442729385777</v>
      </c>
      <c r="AL30" s="11" t="n">
        <v>0.301791676439176</v>
      </c>
      <c r="AM30" s="11" t="n">
        <v>0.307854862676676</v>
      </c>
      <c r="AN30" s="11" t="n">
        <v>0.314290204270113</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0.372815184884234</v>
      </c>
      <c r="AW30" s="11" t="n">
        <v>0.380977508595361</v>
      </c>
      <c r="AX30" s="11" t="n">
        <v>0.389343890399265</v>
      </c>
      <c r="AY30" s="11" t="n">
        <v>0.389343890399265</v>
      </c>
      <c r="AZ30" s="11" t="n">
        <v>0.389343890399265</v>
      </c>
      <c r="BA30" s="11" t="n">
        <v>0.389343890399265</v>
      </c>
      <c r="BB30" s="11" t="n">
        <v>0.389343890399265</v>
      </c>
      <c r="BC30" s="11" t="n">
        <v>0.389343890399265</v>
      </c>
      <c r="BD30" s="11" t="n">
        <v>0.389343890399265</v>
      </c>
      <c r="BE30" s="11" t="n">
        <v>0.389343890399265</v>
      </c>
      <c r="BF30" s="11" t="n">
        <v>0.389343890399265</v>
      </c>
      <c r="BG30" s="11" t="n">
        <v>0.389343890399265</v>
      </c>
      <c r="BH30" s="11" t="n">
        <v>0.389343890399265</v>
      </c>
      <c r="BI30" s="11" t="n">
        <v>0.389343890399265</v>
      </c>
      <c r="BJ30" s="11" t="n">
        <v>0.389343890399265</v>
      </c>
      <c r="BK30" s="11" t="n">
        <v>0.389343890399265</v>
      </c>
      <c r="BL30" s="11" t="n">
        <v>0.389343890399265</v>
      </c>
      <c r="BM30" s="11" t="n">
        <v>0.389343890399265</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32.3429075604533</v>
      </c>
      <c r="H33" s="11" t="n">
        <v>32.2867215516015</v>
      </c>
      <c r="I33" s="11" t="n">
        <v>32.4376625870691</v>
      </c>
      <c r="J33" s="11" t="n">
        <v>32.2069060308038</v>
      </c>
      <c r="K33" s="11" t="n">
        <v>32.8262420298166</v>
      </c>
      <c r="L33" s="11" t="n">
        <v>32.5783502819476</v>
      </c>
      <c r="M33" s="11" t="n">
        <v>32.6734220770182</v>
      </c>
      <c r="N33" s="11" t="n">
        <v>32.5130465142707</v>
      </c>
      <c r="O33" s="11" t="n">
        <v>31.5208846643531</v>
      </c>
      <c r="P33" s="11" t="n">
        <v>29.9473573096137</v>
      </c>
      <c r="Q33" s="11" t="n">
        <v>29.4891220094733</v>
      </c>
      <c r="R33" s="11" t="n">
        <v>29.7648113387233</v>
      </c>
      <c r="S33" s="11" t="n">
        <v>30.0129038331228</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27.8900628145383</v>
      </c>
      <c r="AK33" s="11" t="n">
        <v>27.7847764250513</v>
      </c>
      <c r="AL33" s="11" t="n">
        <v>27.2034581433579</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16.3728090246473</v>
      </c>
      <c r="F34" s="11" t="n">
        <v>16.3652204738222</v>
      </c>
      <c r="G34" s="11" t="n">
        <v>15.7880323748618</v>
      </c>
      <c r="H34" s="11" t="n">
        <v>15.3872752709717</v>
      </c>
      <c r="I34" s="11" t="n">
        <v>15.9578378738726</v>
      </c>
      <c r="J34" s="11" t="n">
        <v>16.0073151624586</v>
      </c>
      <c r="K34" s="11" t="n">
        <v>16.2385566670362</v>
      </c>
      <c r="L34" s="11" t="n">
        <v>16.4227129027924</v>
      </c>
      <c r="M34" s="11" t="n">
        <v>16.2079933627153</v>
      </c>
      <c r="N34" s="11" t="n">
        <v>16.2277371694367</v>
      </c>
      <c r="O34" s="11" t="n">
        <v>15.5059070589611</v>
      </c>
      <c r="P34" s="11" t="n">
        <v>14.9262809717382</v>
      </c>
      <c r="Q34" s="11" t="n">
        <v>14.9166492139828</v>
      </c>
      <c r="R34" s="11" t="n">
        <v>14.8411843098522</v>
      </c>
      <c r="S34" s="11" t="n">
        <v>14.6249013723468</v>
      </c>
      <c r="T34" s="11" t="n">
        <v>14.319878479678</v>
      </c>
      <c r="U34" s="11" t="n">
        <v>13.9484125589319</v>
      </c>
      <c r="V34" s="11" t="n">
        <v>13.6898865319666</v>
      </c>
      <c r="W34" s="11" t="n">
        <v>13.5903470722667</v>
      </c>
      <c r="X34" s="11" t="n">
        <v>13.5319011034865</v>
      </c>
      <c r="Y34" s="11" t="n">
        <v>13.7591024678466</v>
      </c>
      <c r="Z34" s="11" t="n">
        <v>13.7877731979964</v>
      </c>
      <c r="AA34" s="11" t="n">
        <v>13.6595715469706</v>
      </c>
      <c r="AB34" s="11" t="n">
        <v>13.7111904939868</v>
      </c>
      <c r="AC34" s="11" t="n">
        <v>14.2109240717554</v>
      </c>
      <c r="AD34" s="11" t="n">
        <v>14.1380536664966</v>
      </c>
      <c r="AE34" s="11" t="n">
        <v>13.813109346583</v>
      </c>
      <c r="AF34" s="11" t="n">
        <v>14.0170958536443</v>
      </c>
      <c r="AG34" s="11" t="n">
        <v>13.8566444133239</v>
      </c>
      <c r="AH34" s="11" t="n">
        <v>13.9485106648271</v>
      </c>
      <c r="AI34" s="11" t="n">
        <v>13.1569075442857</v>
      </c>
      <c r="AJ34" s="11" t="n">
        <v>13.478563412585</v>
      </c>
      <c r="AK34" s="11" t="n">
        <v>12.7290815643072</v>
      </c>
      <c r="AL34" s="11" t="n">
        <v>12.5191024192604</v>
      </c>
      <c r="AM34" s="11" t="n">
        <v>12.5045953938355</v>
      </c>
      <c r="AN34" s="11" t="n">
        <v>12.5098559697839</v>
      </c>
      <c r="AO34" s="11" t="n">
        <v>12.5217901091835</v>
      </c>
      <c r="AP34" s="11" t="n">
        <v>12.5376828555556</v>
      </c>
      <c r="AQ34" s="11" t="n">
        <v>12.5541577344059</v>
      </c>
      <c r="AR34" s="11" t="n">
        <v>12.5678684965442</v>
      </c>
      <c r="AS34" s="11" t="n">
        <v>12.5756416332501</v>
      </c>
      <c r="AT34" s="11" t="n">
        <v>12.5570215325553</v>
      </c>
      <c r="AU34" s="11" t="n">
        <v>12.5324913014387</v>
      </c>
      <c r="AV34" s="11" t="n">
        <v>12.5034970082266</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62.7871806981944</v>
      </c>
      <c r="BP34" s="11" t="n">
        <v>62.1470433189398</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77.5558735763428</v>
      </c>
      <c r="AO39" s="11" t="n">
        <v>75.8547891741346</v>
      </c>
      <c r="AP39" s="11" t="n">
        <v>73.8217798470384</v>
      </c>
      <c r="AQ39" s="11" t="n">
        <v>73.2733416001273</v>
      </c>
      <c r="AR39" s="11" t="n">
        <v>74.4161817457161</v>
      </c>
      <c r="AS39" s="11" t="n">
        <v>74.3155836353803</v>
      </c>
      <c r="AT39" s="11" t="n">
        <v>74.3404936863725</v>
      </c>
      <c r="AU39" s="11" t="n">
        <v>74.336191970127</v>
      </c>
      <c r="AV39" s="11" t="n">
        <v>74.3901956285525</v>
      </c>
      <c r="AW39" s="11" t="n">
        <v>74.4674624158074</v>
      </c>
      <c r="AX39" s="11" t="n">
        <v>74.607687085354</v>
      </c>
      <c r="AY39" s="11" t="n">
        <v>75.0421639062326</v>
      </c>
      <c r="AZ39" s="11" t="n">
        <v>75.236353669882</v>
      </c>
      <c r="BA39" s="11" t="n">
        <v>75.4796356410176</v>
      </c>
      <c r="BB39" s="11" t="n">
        <v>75.7314491214663</v>
      </c>
      <c r="BC39" s="11" t="n">
        <v>76.0225181090226</v>
      </c>
      <c r="BD39" s="11" t="n">
        <v>76.3984446397799</v>
      </c>
      <c r="BE39" s="11" t="n">
        <v>76.5929969162067</v>
      </c>
      <c r="BF39" s="11" t="n">
        <v>76.7185510315845</v>
      </c>
      <c r="BG39" s="11" t="n">
        <v>77.0459018666904</v>
      </c>
      <c r="BH39" s="11" t="n">
        <v>77.0429718482122</v>
      </c>
      <c r="BI39" s="11" t="n">
        <v>77.138496482927</v>
      </c>
      <c r="BJ39" s="11" t="n">
        <v>77.3751466267157</v>
      </c>
      <c r="BK39" s="11" t="n">
        <v>77.4244820746496</v>
      </c>
      <c r="BL39" s="11" t="n">
        <v>77.3856700889426</v>
      </c>
      <c r="BM39" s="11" t="n">
        <v>77.3412571501909</v>
      </c>
      <c r="BN39" s="11" t="n">
        <v>374.701731982836</v>
      </c>
      <c r="BO39" s="11" t="n">
        <v>370.681792637723</v>
      </c>
      <c r="BP39" s="11" t="n">
        <v>373.743862705829</v>
      </c>
      <c r="BQ39" s="11" t="n">
        <v>380.225044427493</v>
      </c>
    </row>
    <row r="40" customFormat="false" ht="13.8" hidden="false" customHeight="false" outlineLevel="0" collapsed="false">
      <c r="A40" s="11" t="s">
        <v>154</v>
      </c>
      <c r="B40" s="11" t="s">
        <v>145</v>
      </c>
      <c r="C40" s="11" t="s">
        <v>139</v>
      </c>
      <c r="D40" s="12"/>
      <c r="E40" s="11" t="n">
        <v>1.9343874301736</v>
      </c>
      <c r="F40" s="11" t="n">
        <v>2.09281339675811</v>
      </c>
      <c r="G40" s="11" t="n">
        <v>1.90487465016747</v>
      </c>
      <c r="H40" s="11" t="n">
        <v>2.0400292812682</v>
      </c>
      <c r="I40" s="11" t="n">
        <v>1.7952750564989</v>
      </c>
      <c r="J40" s="11" t="n">
        <v>1.44938866258208</v>
      </c>
      <c r="K40" s="11" t="n">
        <v>1.51122564806966</v>
      </c>
      <c r="L40" s="11" t="n">
        <v>1.3737866328731</v>
      </c>
      <c r="M40" s="11" t="n">
        <v>1.33054053572705</v>
      </c>
      <c r="N40" s="11" t="n">
        <v>1.34823620318337</v>
      </c>
      <c r="O40" s="11" t="n">
        <v>1.18822527709927</v>
      </c>
      <c r="P40" s="11" t="n">
        <v>1.16633944776346</v>
      </c>
      <c r="Q40" s="11" t="n">
        <v>1.01383296021305</v>
      </c>
      <c r="R40" s="11" t="n">
        <v>0.93322154285008</v>
      </c>
      <c r="S40" s="11" t="n">
        <v>0.901857739023368</v>
      </c>
      <c r="T40" s="11" t="n">
        <v>0.812122999703224</v>
      </c>
      <c r="U40" s="11" t="n">
        <v>0.795568701358164</v>
      </c>
      <c r="V40" s="11" t="n">
        <v>0.759026928260703</v>
      </c>
      <c r="W40" s="11" t="n">
        <v>0.760082219226097</v>
      </c>
      <c r="X40" s="11" t="n">
        <v>0.745030177478766</v>
      </c>
      <c r="Y40" s="11" t="n">
        <v>0.829548103312322</v>
      </c>
      <c r="Z40" s="11" t="n">
        <v>0.748458555760482</v>
      </c>
      <c r="AA40" s="11" t="n">
        <v>0.78790328833195</v>
      </c>
      <c r="AB40" s="11" t="n">
        <v>0.825365487716614</v>
      </c>
      <c r="AC40" s="11" t="n">
        <v>0.752002415193222</v>
      </c>
      <c r="AD40" s="11" t="n">
        <v>0.769371740819121</v>
      </c>
      <c r="AE40" s="11" t="n">
        <v>0.797824147621668</v>
      </c>
      <c r="AF40" s="11" t="n">
        <v>0.84420341170345</v>
      </c>
      <c r="AG40" s="11" t="n">
        <v>0.884861076081247</v>
      </c>
      <c r="AH40" s="11" t="n">
        <v>0.866246153304041</v>
      </c>
      <c r="AI40" s="11" t="n">
        <v>0.888298323747082</v>
      </c>
      <c r="AJ40" s="11" t="n">
        <v>0.949358927981948</v>
      </c>
      <c r="AK40" s="11" t="n">
        <v>0.895104911792876</v>
      </c>
      <c r="AL40" s="11" t="n">
        <v>0.844939001939519</v>
      </c>
      <c r="AM40" s="11" t="n">
        <v>0.886295151247936</v>
      </c>
      <c r="AN40" s="11" t="n">
        <v>0.892761507697143</v>
      </c>
      <c r="AO40" s="11" t="n">
        <v>0.890937198970643</v>
      </c>
      <c r="AP40" s="11" t="n">
        <v>0.893214859858128</v>
      </c>
      <c r="AQ40" s="11" t="n">
        <v>0.892650659346261</v>
      </c>
      <c r="AR40" s="11" t="n">
        <v>0.889350713243192</v>
      </c>
      <c r="AS40" s="11" t="n">
        <v>0.876584483808688</v>
      </c>
      <c r="AT40" s="11" t="n">
        <v>0.869689786770723</v>
      </c>
      <c r="AU40" s="11" t="n">
        <v>0.866854514584695</v>
      </c>
      <c r="AV40" s="11" t="n">
        <v>0.859818472707612</v>
      </c>
      <c r="AW40" s="11" t="n">
        <v>0.851465773903065</v>
      </c>
      <c r="AX40" s="11" t="n">
        <v>0.831544567668201</v>
      </c>
      <c r="AY40" s="11" t="n">
        <v>0.808825029574496</v>
      </c>
      <c r="AZ40" s="11" t="n">
        <v>0.777698916293308</v>
      </c>
      <c r="BA40" s="11" t="n">
        <v>0.764172004581148</v>
      </c>
      <c r="BB40" s="11" t="n">
        <v>0.750885406876129</v>
      </c>
      <c r="BC40" s="11" t="n">
        <v>0.738788876507189</v>
      </c>
      <c r="BD40" s="11" t="n">
        <v>0.726710708429922</v>
      </c>
      <c r="BE40" s="11" t="n">
        <v>0.710089509178927</v>
      </c>
      <c r="BF40" s="11" t="n">
        <v>0.701510146178203</v>
      </c>
      <c r="BG40" s="11" t="n">
        <v>0.692053883273331</v>
      </c>
      <c r="BH40" s="11" t="n">
        <v>0.675586849510253</v>
      </c>
      <c r="BI40" s="11" t="n">
        <v>0.657825192147754</v>
      </c>
      <c r="BJ40" s="11" t="n">
        <v>0.642194814853558</v>
      </c>
      <c r="BK40" s="11" t="n">
        <v>0.632027948358874</v>
      </c>
      <c r="BL40" s="11" t="n">
        <v>0.631699537281007</v>
      </c>
      <c r="BM40" s="11" t="n">
        <v>0.631567826698496</v>
      </c>
      <c r="BN40" s="11" t="n">
        <v>4.40814771971337</v>
      </c>
      <c r="BO40" s="11" t="n">
        <v>4.39513015775356</v>
      </c>
      <c r="BP40" s="11" t="n">
        <v>4.12935276014668</v>
      </c>
      <c r="BQ40" s="11" t="n">
        <v>3.69064650557331</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0.727990636052087</v>
      </c>
      <c r="M41" s="11" t="n">
        <v>0.720053765993904</v>
      </c>
      <c r="N41" s="11" t="n">
        <v>0.724653000290284</v>
      </c>
      <c r="O41" s="11" t="n">
        <v>0.704194326455599</v>
      </c>
      <c r="P41" s="11" t="n">
        <v>0.714911564243158</v>
      </c>
      <c r="Q41" s="11" t="n">
        <v>0.688574056524535</v>
      </c>
      <c r="R41" s="11" t="n">
        <v>0.676763604250922</v>
      </c>
      <c r="S41" s="11" t="n">
        <v>0.680768457459176</v>
      </c>
      <c r="T41" s="11" t="n">
        <v>0.670982937926471</v>
      </c>
      <c r="U41" s="11" t="n">
        <v>0.674474885150766</v>
      </c>
      <c r="V41" s="11" t="n">
        <v>0.669230340665885</v>
      </c>
      <c r="W41" s="11" t="n">
        <v>0.673097742682907</v>
      </c>
      <c r="X41" s="11" t="n">
        <v>0.67454986089093</v>
      </c>
      <c r="Y41" s="11" t="n">
        <v>0.6907640100899</v>
      </c>
      <c r="Z41" s="11" t="n">
        <v>0.675831255143988</v>
      </c>
      <c r="AA41" s="11" t="n">
        <v>0.846545414599524</v>
      </c>
      <c r="AB41" s="11" t="n">
        <v>0.891900592001091</v>
      </c>
      <c r="AC41" s="11" t="n">
        <v>0.893546411799337</v>
      </c>
      <c r="AD41" s="11" t="n">
        <v>0.904083788266458</v>
      </c>
      <c r="AE41" s="11" t="n">
        <v>0.913451796364845</v>
      </c>
      <c r="AF41" s="11" t="n">
        <v>0.905720524710327</v>
      </c>
      <c r="AG41" s="11" t="n">
        <v>0.916538088663762</v>
      </c>
      <c r="AH41" s="11" t="n">
        <v>0.924124505580662</v>
      </c>
      <c r="AI41" s="11" t="n">
        <v>0.901472041065115</v>
      </c>
      <c r="AJ41" s="11" t="n">
        <v>0.883802548357134</v>
      </c>
      <c r="AK41" s="11" t="n">
        <v>0.845712936789407</v>
      </c>
      <c r="AL41" s="11" t="n">
        <v>0.836001263230554</v>
      </c>
      <c r="AM41" s="11" t="n">
        <v>0.889097789671652</v>
      </c>
      <c r="AN41" s="11" t="n">
        <v>0.895454310969192</v>
      </c>
      <c r="AO41" s="11" t="n">
        <v>0.899428338753506</v>
      </c>
      <c r="AP41" s="11" t="n">
        <v>0.903208440850055</v>
      </c>
      <c r="AQ41" s="11" t="n">
        <v>0.905991528350666</v>
      </c>
      <c r="AR41" s="11" t="n">
        <v>0.908531034957304</v>
      </c>
      <c r="AS41" s="11" t="n">
        <v>0.909509648958902</v>
      </c>
      <c r="AT41" s="11" t="n">
        <v>0.911221447913369</v>
      </c>
      <c r="AU41" s="11" t="n">
        <v>0.913403389071397</v>
      </c>
      <c r="AV41" s="11" t="n">
        <v>0.915037929825694</v>
      </c>
      <c r="AW41" s="11" t="n">
        <v>0.916448733939044</v>
      </c>
      <c r="AX41" s="11" t="n">
        <v>0.916215255862226</v>
      </c>
      <c r="AY41" s="11" t="n">
        <v>0.915533882403856</v>
      </c>
      <c r="AZ41" s="11" t="n">
        <v>0.913642240792778</v>
      </c>
      <c r="BA41" s="11" t="n">
        <v>0.914126599432316</v>
      </c>
      <c r="BB41" s="11" t="n">
        <v>0.914600393771008</v>
      </c>
      <c r="BC41" s="11" t="n">
        <v>0.915232665353733</v>
      </c>
      <c r="BD41" s="11" t="n">
        <v>0.915832683785082</v>
      </c>
      <c r="BE41" s="11" t="n">
        <v>0.915758698241607</v>
      </c>
      <c r="BF41" s="11" t="n">
        <v>0.916774713602678</v>
      </c>
      <c r="BG41" s="11" t="n">
        <v>0.917608374731768</v>
      </c>
      <c r="BH41" s="11" t="n">
        <v>0.917357016757965</v>
      </c>
      <c r="BI41" s="11" t="n">
        <v>0.916796218654972</v>
      </c>
      <c r="BJ41" s="11" t="n">
        <v>0.916455959391344</v>
      </c>
      <c r="BK41" s="11" t="n">
        <v>0.916809504680372</v>
      </c>
      <c r="BL41" s="11" t="n">
        <v>0.918464078519076</v>
      </c>
      <c r="BM41" s="11" t="n">
        <v>0.920071459769963</v>
      </c>
      <c r="BN41" s="11" t="n">
        <v>4.42319014347496</v>
      </c>
      <c r="BO41" s="11" t="n">
        <v>4.54865704925164</v>
      </c>
      <c r="BP41" s="11" t="n">
        <v>4.5768780428236</v>
      </c>
      <c r="BQ41" s="11" t="n">
        <v>4.57555104058375</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0.887812092871217</v>
      </c>
      <c r="L42" s="11" t="n">
        <v>1.21268939746777</v>
      </c>
      <c r="M42" s="11" t="n">
        <v>1.67943437777013</v>
      </c>
      <c r="N42" s="11" t="n">
        <v>2.23766194274384</v>
      </c>
      <c r="O42" s="11" t="n">
        <v>2.85956892573193</v>
      </c>
      <c r="P42" s="11" t="n">
        <v>3.61885336113621</v>
      </c>
      <c r="Q42" s="11" t="n">
        <v>4.23695062254621</v>
      </c>
      <c r="R42" s="11" t="n">
        <v>4.90898918210383</v>
      </c>
      <c r="S42" s="11" t="n">
        <v>5.47172831627325</v>
      </c>
      <c r="T42" s="11" t="n">
        <v>6.02613382558142</v>
      </c>
      <c r="U42" s="11" t="n">
        <v>6.67512027321028</v>
      </c>
      <c r="V42" s="11" t="n">
        <v>7.09453468955329</v>
      </c>
      <c r="W42" s="11" t="n">
        <v>7.33427063376822</v>
      </c>
      <c r="X42" s="11" t="n">
        <v>7.65072094240051</v>
      </c>
      <c r="Y42" s="11" t="n">
        <v>7.98793642368175</v>
      </c>
      <c r="Z42" s="11" t="n">
        <v>8.37623700129879</v>
      </c>
      <c r="AA42" s="11" t="n">
        <v>8.67742513818832</v>
      </c>
      <c r="AB42" s="11" t="n">
        <v>8.67057952123833</v>
      </c>
      <c r="AC42" s="11" t="n">
        <v>8.22294685667956</v>
      </c>
      <c r="AD42" s="11" t="n">
        <v>8.01470776928503</v>
      </c>
      <c r="AE42" s="11" t="n">
        <v>7.72031091816046</v>
      </c>
      <c r="AF42" s="11" t="n">
        <v>7.31880276789089</v>
      </c>
      <c r="AG42" s="11" t="n">
        <v>6.95968164395597</v>
      </c>
      <c r="AH42" s="11" t="n">
        <v>6.39537361443029</v>
      </c>
      <c r="AI42" s="11" t="n">
        <v>5.70528179294859</v>
      </c>
      <c r="AJ42" s="11" t="n">
        <v>5.24401579865644</v>
      </c>
      <c r="AK42" s="11" t="n">
        <v>4.85465601130321</v>
      </c>
      <c r="AL42" s="11" t="n">
        <v>4.45096638460075</v>
      </c>
      <c r="AM42" s="11" t="n">
        <v>4.13587946738664</v>
      </c>
      <c r="AN42" s="11" t="n">
        <v>3.91082861365333</v>
      </c>
      <c r="AO42" s="11" t="n">
        <v>3.71356827885798</v>
      </c>
      <c r="AP42" s="11" t="n">
        <v>3.54141578366137</v>
      </c>
      <c r="AQ42" s="11" t="n">
        <v>3.397188073432</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2.83955931184937</v>
      </c>
      <c r="BG42" s="11" t="n">
        <v>2.88285737657756</v>
      </c>
      <c r="BH42" s="11" t="n">
        <v>2.93086885071256</v>
      </c>
      <c r="BI42" s="11" t="n">
        <v>2.97998034582683</v>
      </c>
      <c r="BJ42" s="11" t="n">
        <v>3.02803909746594</v>
      </c>
      <c r="BK42" s="11" t="n">
        <v>3.07319716267257</v>
      </c>
      <c r="BL42" s="11" t="n">
        <v>3.11529035542257</v>
      </c>
      <c r="BM42" s="11" t="n">
        <v>3.15658114223841</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113.211007031784</v>
      </c>
      <c r="AO46" s="11" t="n">
        <v>109.373203207471</v>
      </c>
      <c r="AP46" s="11" t="n">
        <v>105.790096818198</v>
      </c>
      <c r="AQ46" s="11" t="n">
        <v>101.516997090405</v>
      </c>
      <c r="AR46" s="11" t="n">
        <v>96.5039043135588</v>
      </c>
      <c r="AS46" s="11" t="n">
        <v>90.5577645418472</v>
      </c>
      <c r="AT46" s="11" t="n">
        <v>85.1255999923648</v>
      </c>
      <c r="AU46" s="11" t="n">
        <v>80.112662173804</v>
      </c>
      <c r="AV46" s="11" t="n">
        <v>75.7949640071322</v>
      </c>
      <c r="AW46" s="11" t="n">
        <v>71.9486474020656</v>
      </c>
      <c r="AX46" s="11" t="n">
        <v>68.5948719568953</v>
      </c>
      <c r="AY46" s="11" t="n">
        <v>65.561586337908</v>
      </c>
      <c r="AZ46" s="11" t="n">
        <v>62.8397097778047</v>
      </c>
      <c r="BA46" s="11" t="n">
        <v>60.4372150346302</v>
      </c>
      <c r="BB46" s="11" t="n">
        <v>58.3717867366934</v>
      </c>
      <c r="BC46" s="11" t="n">
        <v>56.4864494995831</v>
      </c>
      <c r="BD46" s="11" t="n">
        <v>54.8873619091952</v>
      </c>
      <c r="BE46" s="11" t="n">
        <v>53.4786588534985</v>
      </c>
      <c r="BF46" s="11" t="n">
        <v>52.3653235678193</v>
      </c>
      <c r="BG46" s="11" t="n">
        <v>51.3890938217745</v>
      </c>
      <c r="BH46" s="11" t="n">
        <v>50.5613874464305</v>
      </c>
      <c r="BI46" s="11" t="n">
        <v>49.9225557967908</v>
      </c>
      <c r="BJ46" s="11" t="n">
        <v>49.3707212396877</v>
      </c>
      <c r="BK46" s="11" t="n">
        <v>49.048513299293</v>
      </c>
      <c r="BL46" s="11" t="n">
        <v>48.7309538748823</v>
      </c>
      <c r="BM46" s="11" t="n">
        <v>48.4868894318809</v>
      </c>
      <c r="BN46" s="11" t="n">
        <v>547.606828567397</v>
      </c>
      <c r="BO46" s="11" t="n">
        <v>453.81692811198</v>
      </c>
      <c r="BP46" s="11" t="n">
        <v>344.739779481806</v>
      </c>
      <c r="BQ46" s="11" t="n">
        <v>283.6614720336</v>
      </c>
    </row>
    <row r="47" customFormat="false" ht="13.8" hidden="false" customHeight="false" outlineLevel="0" collapsed="false">
      <c r="A47" s="11" t="s">
        <v>154</v>
      </c>
      <c r="B47" s="11" t="s">
        <v>146</v>
      </c>
      <c r="C47" s="11" t="s">
        <v>139</v>
      </c>
      <c r="D47" s="12"/>
      <c r="E47" s="11" t="n">
        <v>1.27297720515135</v>
      </c>
      <c r="F47" s="11" t="n">
        <v>1.25061064970842</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0.553564609166542</v>
      </c>
      <c r="R47" s="11" t="n">
        <v>0.490426598642273</v>
      </c>
      <c r="S47" s="11" t="n">
        <v>0.442652781387932</v>
      </c>
      <c r="T47" s="11" t="n">
        <v>0.405383013533054</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0.0747884074140275</v>
      </c>
      <c r="AJ47" s="11" t="n">
        <v>0.0810221488085114</v>
      </c>
      <c r="AK47" s="11" t="n">
        <v>0.0850575444875325</v>
      </c>
      <c r="AL47" s="11" t="n">
        <v>0.0856761920612092</v>
      </c>
      <c r="AM47" s="11" t="n">
        <v>0.0916319440299271</v>
      </c>
      <c r="AN47" s="11" t="n">
        <v>0.0909192150202987</v>
      </c>
      <c r="AO47" s="11" t="n">
        <v>0.0887777233571251</v>
      </c>
      <c r="AP47" s="11" t="n">
        <v>0.0874120357020035</v>
      </c>
      <c r="AQ47" s="11" t="n">
        <v>0.0851178626218245</v>
      </c>
      <c r="AR47" s="11" t="n">
        <v>0.0818450468896603</v>
      </c>
      <c r="AS47" s="11" t="n">
        <v>0.0774925993132757</v>
      </c>
      <c r="AT47" s="11" t="n">
        <v>0.0735799624999571</v>
      </c>
      <c r="AU47" s="11" t="n">
        <v>0.0698342649711101</v>
      </c>
      <c r="AV47" s="11" t="n">
        <v>0.0662720865373829</v>
      </c>
      <c r="AW47" s="11" t="n">
        <v>0.0630053613429561</v>
      </c>
      <c r="AX47" s="11" t="n">
        <v>0.0600109612352818</v>
      </c>
      <c r="AY47" s="11" t="n">
        <v>0.0572413398449078</v>
      </c>
      <c r="AZ47" s="11" t="n">
        <v>0.054742496822281</v>
      </c>
      <c r="BA47" s="11" t="n">
        <v>0.0525015839490094</v>
      </c>
      <c r="BB47" s="11" t="n">
        <v>0.0504379213477421</v>
      </c>
      <c r="BC47" s="11" t="n">
        <v>0.0486216311713486</v>
      </c>
      <c r="BD47" s="11" t="n">
        <v>0.0469389308968407</v>
      </c>
      <c r="BE47" s="11" t="n">
        <v>0.0455873978533163</v>
      </c>
      <c r="BF47" s="11" t="n">
        <v>0.0444053899991681</v>
      </c>
      <c r="BG47" s="11" t="n">
        <v>0.0434433700856845</v>
      </c>
      <c r="BH47" s="11" t="n">
        <v>0.0427197481576408</v>
      </c>
      <c r="BI47" s="11" t="n">
        <v>0.0421858413354341</v>
      </c>
      <c r="BJ47" s="11" t="n">
        <v>0.0417213807184767</v>
      </c>
      <c r="BK47" s="11" t="n">
        <v>0.0413859445560025</v>
      </c>
      <c r="BL47" s="11" t="n">
        <v>0.0411575895799316</v>
      </c>
      <c r="BM47" s="11" t="n">
        <v>0.0409993053376138</v>
      </c>
      <c r="BN47" s="11" t="n">
        <v>0.444417110170564</v>
      </c>
      <c r="BO47" s="11" t="n">
        <v>0.387869736295828</v>
      </c>
      <c r="BP47" s="11" t="n">
        <v>0.30127224578281</v>
      </c>
      <c r="BQ47" s="11" t="n">
        <v>0.244087465218257</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0.890620745807166</v>
      </c>
      <c r="X48" s="11" t="n">
        <v>0.844914398363468</v>
      </c>
      <c r="Y48" s="11" t="n">
        <v>0.849296904955032</v>
      </c>
      <c r="Z48" s="11" t="n">
        <v>0.862456549136757</v>
      </c>
      <c r="AA48" s="11" t="n">
        <v>0.877239206896131</v>
      </c>
      <c r="AB48" s="11" t="n">
        <v>0.894622354167945</v>
      </c>
      <c r="AC48" s="11" t="n">
        <v>0.934204816450957</v>
      </c>
      <c r="AD48" s="11" t="n">
        <v>0.949799549113104</v>
      </c>
      <c r="AE48" s="11" t="n">
        <v>0.987987362907361</v>
      </c>
      <c r="AF48" s="11" t="n">
        <v>1.00785908615541</v>
      </c>
      <c r="AG48" s="11" t="n">
        <v>1.01707539544984</v>
      </c>
      <c r="AH48" s="11" t="n">
        <v>0.991684737617365</v>
      </c>
      <c r="AI48" s="11" t="n">
        <v>0.871004562768477</v>
      </c>
      <c r="AJ48" s="11" t="n">
        <v>0.922070495488821</v>
      </c>
      <c r="AK48" s="11" t="n">
        <v>0.917810058079545</v>
      </c>
      <c r="AL48" s="11" t="n">
        <v>0.895428540077311</v>
      </c>
      <c r="AM48" s="11" t="n">
        <v>0.962369082226078</v>
      </c>
      <c r="AN48" s="11" t="n">
        <v>0.95780516912083</v>
      </c>
      <c r="AO48" s="11" t="n">
        <v>0.940502995717417</v>
      </c>
      <c r="AP48" s="11" t="n">
        <v>0.921375752203441</v>
      </c>
      <c r="AQ48" s="11" t="n">
        <v>0.897665693469359</v>
      </c>
      <c r="AR48" s="11" t="n">
        <v>0.869324194922547</v>
      </c>
      <c r="AS48" s="11" t="n">
        <v>0.837717195124898</v>
      </c>
      <c r="AT48" s="11" t="n">
        <v>0.810117778811832</v>
      </c>
      <c r="AU48" s="11" t="n">
        <v>0.785138458564341</v>
      </c>
      <c r="AV48" s="11" t="n">
        <v>0.762826570462175</v>
      </c>
      <c r="AW48" s="11" t="n">
        <v>0.744305059102746</v>
      </c>
      <c r="AX48" s="11" t="n">
        <v>0.729109212944149</v>
      </c>
      <c r="AY48" s="11" t="n">
        <v>0.716471381084942</v>
      </c>
      <c r="AZ48" s="11" t="n">
        <v>0.705860014568619</v>
      </c>
      <c r="BA48" s="11" t="n">
        <v>0.697525691550732</v>
      </c>
      <c r="BB48" s="11" t="n">
        <v>0.691042614811578</v>
      </c>
      <c r="BC48" s="11" t="n">
        <v>0.685901717013011</v>
      </c>
      <c r="BD48" s="11" t="n">
        <v>0.680419459385153</v>
      </c>
      <c r="BE48" s="11" t="n">
        <v>0.676523398524441</v>
      </c>
      <c r="BF48" s="11" t="n">
        <v>0.67342605920797</v>
      </c>
      <c r="BG48" s="11" t="n">
        <v>0.671560134433305</v>
      </c>
      <c r="BH48" s="11" t="n">
        <v>0.670550136243425</v>
      </c>
      <c r="BI48" s="11" t="n">
        <v>0.670346727896701</v>
      </c>
      <c r="BJ48" s="11" t="n">
        <v>0.670316108852528</v>
      </c>
      <c r="BK48" s="11" t="n">
        <v>0.671206279219926</v>
      </c>
      <c r="BL48" s="11" t="n">
        <v>0.672896882459513</v>
      </c>
      <c r="BM48" s="11" t="n">
        <v>0.674312050682475</v>
      </c>
      <c r="BN48" s="11" t="n">
        <v>4.67748153934508</v>
      </c>
      <c r="BO48" s="11" t="n">
        <v>4.19996332089298</v>
      </c>
      <c r="BP48" s="11" t="n">
        <v>3.65857223816263</v>
      </c>
      <c r="BQ48" s="11" t="n">
        <v>3.43141288128491</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0.00758704295400535</v>
      </c>
      <c r="I49" s="11" t="n">
        <v>0.0191457948826393</v>
      </c>
      <c r="J49" s="11" t="n">
        <v>0.0440129237321048</v>
      </c>
      <c r="K49" s="11" t="n">
        <v>0.0831984283549992</v>
      </c>
      <c r="L49" s="11" t="n">
        <v>0.134713168733324</v>
      </c>
      <c r="M49" s="11" t="n">
        <v>0.197418800105337</v>
      </c>
      <c r="N49" s="11" t="n">
        <v>0.270937175183438</v>
      </c>
      <c r="O49" s="11" t="n">
        <v>0.35528562086966</v>
      </c>
      <c r="P49" s="11" t="n">
        <v>0.448308759564938</v>
      </c>
      <c r="Q49" s="11" t="n">
        <v>0.546724386901232</v>
      </c>
      <c r="R49" s="11" t="n">
        <v>0.654719622747928</v>
      </c>
      <c r="S49" s="11" t="n">
        <v>0.770609828397742</v>
      </c>
      <c r="T49" s="11" t="n">
        <v>0.892033502650137</v>
      </c>
      <c r="U49" s="11" t="n">
        <v>1.02536768411097</v>
      </c>
      <c r="V49" s="11" t="n">
        <v>1.14915773447392</v>
      </c>
      <c r="W49" s="11" t="n">
        <v>1.26245622236332</v>
      </c>
      <c r="X49" s="11" t="n">
        <v>1.36457098844073</v>
      </c>
      <c r="Y49" s="11" t="n">
        <v>1.46641832911833</v>
      </c>
      <c r="Z49" s="11" t="n">
        <v>1.56361602612155</v>
      </c>
      <c r="AA49" s="11" t="n">
        <v>1.6562995095492</v>
      </c>
      <c r="AB49" s="11" t="n">
        <v>1.74334686161733</v>
      </c>
      <c r="AC49" s="11" t="n">
        <v>1.81859099804214</v>
      </c>
      <c r="AD49" s="11" t="n">
        <v>1.87431155708176</v>
      </c>
      <c r="AE49" s="11" t="n">
        <v>1.90597752814992</v>
      </c>
      <c r="AF49" s="11" t="n">
        <v>1.89620238264926</v>
      </c>
      <c r="AG49" s="11" t="n">
        <v>1.85777666435984</v>
      </c>
      <c r="AH49" s="11" t="n">
        <v>1.80208979252265</v>
      </c>
      <c r="AI49" s="11" t="n">
        <v>1.73121633411536</v>
      </c>
      <c r="AJ49" s="11" t="n">
        <v>1.65076911278086</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0.568631066193109</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37.8566680958855</v>
      </c>
      <c r="AN53" s="11" t="n">
        <v>24.4314845389245</v>
      </c>
      <c r="AO53" s="11" t="n">
        <v>20.2511210722698</v>
      </c>
      <c r="AP53" s="11" t="n">
        <v>18.2214338952379</v>
      </c>
      <c r="AQ53" s="11" t="n">
        <v>17.9739928072208</v>
      </c>
      <c r="AR53" s="11" t="n">
        <v>18.969460160792</v>
      </c>
      <c r="AS53" s="11" t="n">
        <v>19.7424498704671</v>
      </c>
      <c r="AT53" s="11" t="n">
        <v>19.4731416911865</v>
      </c>
      <c r="AU53" s="11" t="n">
        <v>20.0614873247159</v>
      </c>
      <c r="AV53" s="11" t="n">
        <v>21.0779751652071</v>
      </c>
      <c r="AW53" s="11" t="n">
        <v>22.1919665125874</v>
      </c>
      <c r="AX53" s="11" t="n">
        <v>23.424527092172</v>
      </c>
      <c r="AY53" s="11" t="n">
        <v>22.6973468916927</v>
      </c>
      <c r="AZ53" s="11" t="n">
        <v>22.9028754528284</v>
      </c>
      <c r="BA53" s="11" t="n">
        <v>23.6847865369493</v>
      </c>
      <c r="BB53" s="11" t="n">
        <v>23.8455839224175</v>
      </c>
      <c r="BC53" s="11" t="n">
        <v>24.0795344084806</v>
      </c>
      <c r="BD53" s="11" t="n">
        <v>25.2562465116758</v>
      </c>
      <c r="BE53" s="11" t="n">
        <v>26.60349637782</v>
      </c>
      <c r="BF53" s="11" t="n">
        <v>27.9004529457029</v>
      </c>
      <c r="BG53" s="11" t="n">
        <v>29.0833625854488</v>
      </c>
      <c r="BH53" s="11" t="n">
        <v>29.8070065547839</v>
      </c>
      <c r="BI53" s="11" t="n">
        <v>31.0291579565765</v>
      </c>
      <c r="BJ53" s="11" t="n">
        <v>31.9357834812467</v>
      </c>
      <c r="BK53" s="11" t="n">
        <v>31.5360446389797</v>
      </c>
      <c r="BL53" s="11" t="n">
        <v>29.8618387548112</v>
      </c>
      <c r="BM53" s="11" t="n">
        <v>29.7774556359756</v>
      </c>
      <c r="BN53" s="11" t="n">
        <v>144.091608653512</v>
      </c>
      <c r="BO53" s="11" t="n">
        <v>96.2205318543824</v>
      </c>
      <c r="BP53" s="11" t="n">
        <v>112.294691114488</v>
      </c>
      <c r="BQ53" s="11" t="n">
        <v>123.469647757343</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0.0709247278374883</v>
      </c>
      <c r="I54" s="11" t="n">
        <v>0.0742130274626892</v>
      </c>
      <c r="J54" s="11" t="n">
        <v>0.0748808413651573</v>
      </c>
      <c r="K54" s="11" t="n">
        <v>0.0758501153320661</v>
      </c>
      <c r="L54" s="11" t="n">
        <v>0.0732454613383986</v>
      </c>
      <c r="M54" s="11" t="n">
        <v>0.0774811747973583</v>
      </c>
      <c r="N54" s="11" t="n">
        <v>0.0793672420704025</v>
      </c>
      <c r="O54" s="11" t="n">
        <v>0.0846894349742251</v>
      </c>
      <c r="P54" s="11" t="n">
        <v>0.0917537201635203</v>
      </c>
      <c r="Q54" s="11" t="n">
        <v>0.0907429907796952</v>
      </c>
      <c r="R54" s="11" t="n">
        <v>0.0941428339572569</v>
      </c>
      <c r="S54" s="11" t="n">
        <v>0.0957489905159301</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0.211350425583012</v>
      </c>
      <c r="AE54" s="11" t="n">
        <v>0.220751805792713</v>
      </c>
      <c r="AF54" s="11" t="n">
        <v>0.222246360185227</v>
      </c>
      <c r="AG54" s="11" t="n">
        <v>0.249516926143695</v>
      </c>
      <c r="AH54" s="11" t="n">
        <v>0.272413021693873</v>
      </c>
      <c r="AI54" s="11" t="n">
        <v>0.274611055142342</v>
      </c>
      <c r="AJ54" s="11" t="n">
        <v>0.29493541718883</v>
      </c>
      <c r="AK54" s="11" t="n">
        <v>0.268806108474927</v>
      </c>
      <c r="AL54" s="11" t="n">
        <v>0.261550530209526</v>
      </c>
      <c r="AM54" s="11" t="n">
        <v>0.379703717078091</v>
      </c>
      <c r="AN54" s="11" t="n">
        <v>0.370435065420264</v>
      </c>
      <c r="AO54" s="11" t="n">
        <v>0.355082381025912</v>
      </c>
      <c r="AP54" s="11" t="n">
        <v>0.323997084392519</v>
      </c>
      <c r="AQ54" s="11" t="n">
        <v>0.244245908196493</v>
      </c>
      <c r="AR54" s="11" t="n">
        <v>0.238076217956556</v>
      </c>
      <c r="AS54" s="11" t="n">
        <v>0.239338155496143</v>
      </c>
      <c r="AT54" s="11" t="n">
        <v>0.235866339776932</v>
      </c>
      <c r="AU54" s="11" t="n">
        <v>0.187870751625725</v>
      </c>
      <c r="AV54" s="11" t="n">
        <v>0.188107850975667</v>
      </c>
      <c r="AW54" s="11" t="n">
        <v>0.187828866811411</v>
      </c>
      <c r="AX54" s="11" t="n">
        <v>0.16611794138832</v>
      </c>
      <c r="AY54" s="11" t="n">
        <v>0.1625638014851</v>
      </c>
      <c r="AZ54" s="11" t="n">
        <v>0.157330142489851</v>
      </c>
      <c r="BA54" s="11" t="n">
        <v>0.158861586164818</v>
      </c>
      <c r="BB54" s="11" t="n">
        <v>0.15935941387045</v>
      </c>
      <c r="BC54" s="11" t="n">
        <v>0.15865426589671</v>
      </c>
      <c r="BD54" s="11" t="n">
        <v>0.154631693148298</v>
      </c>
      <c r="BE54" s="11" t="n">
        <v>0.147042682351724</v>
      </c>
      <c r="BF54" s="11" t="n">
        <v>0.142527829052947</v>
      </c>
      <c r="BG54" s="11" t="n">
        <v>0.137354908231648</v>
      </c>
      <c r="BH54" s="11" t="n">
        <v>0.138466129580335</v>
      </c>
      <c r="BI54" s="11" t="n">
        <v>0.139318512681201</v>
      </c>
      <c r="BJ54" s="11" t="n">
        <v>0.140127976698323</v>
      </c>
      <c r="BK54" s="11" t="n">
        <v>0.140274389509082</v>
      </c>
      <c r="BL54" s="11" t="n">
        <v>0.13992524901477</v>
      </c>
      <c r="BM54" s="11" t="n">
        <v>0.140437407912058</v>
      </c>
      <c r="BN54" s="11" t="n">
        <v>1.69076877812631</v>
      </c>
      <c r="BO54" s="11" t="n">
        <v>1.14539737305185</v>
      </c>
      <c r="BP54" s="11" t="n">
        <v>0.861948603150349</v>
      </c>
      <c r="BQ54" s="11" t="n">
        <v>0.778549641432001</v>
      </c>
    </row>
    <row r="55" customFormat="false" ht="13.8" hidden="false" customHeight="false" outlineLevel="0" collapsed="false">
      <c r="A55" s="11" t="s">
        <v>155</v>
      </c>
      <c r="B55" s="11" t="s">
        <v>147</v>
      </c>
      <c r="C55" s="11" t="s">
        <v>139</v>
      </c>
      <c r="D55" s="12"/>
      <c r="E55" s="11" t="n">
        <v>0.984987691558184</v>
      </c>
      <c r="F55" s="11" t="n">
        <v>0.970048388417934</v>
      </c>
      <c r="G55" s="11" t="n">
        <v>0.910617933265949</v>
      </c>
      <c r="H55" s="11" t="n">
        <v>0.771978697012649</v>
      </c>
      <c r="I55" s="11" t="n">
        <v>0.737321268443208</v>
      </c>
      <c r="J55" s="11" t="n">
        <v>0.709397209019641</v>
      </c>
      <c r="K55" s="11" t="n">
        <v>0.6612887889585</v>
      </c>
      <c r="L55" s="11" t="n">
        <v>0.568914048515287</v>
      </c>
      <c r="M55" s="11" t="n">
        <v>0.586389592586241</v>
      </c>
      <c r="N55" s="11" t="n">
        <v>0.513498687002719</v>
      </c>
      <c r="O55" s="11" t="n">
        <v>0.574804572248271</v>
      </c>
      <c r="P55" s="11" t="n">
        <v>0.632355500344122</v>
      </c>
      <c r="Q55" s="11" t="n">
        <v>0.597481798965218</v>
      </c>
      <c r="R55" s="11" t="n">
        <v>0.652412845375287</v>
      </c>
      <c r="S55" s="11" t="n">
        <v>0.634687425943724</v>
      </c>
      <c r="T55" s="11" t="n">
        <v>0.672744029106066</v>
      </c>
      <c r="U55" s="11" t="n">
        <v>0.726225392133559</v>
      </c>
      <c r="V55" s="11" t="n">
        <v>0.673849210882455</v>
      </c>
      <c r="W55" s="11" t="n">
        <v>0.637459708292023</v>
      </c>
      <c r="X55" s="11" t="n">
        <v>0.548443507955348</v>
      </c>
      <c r="Y55" s="11" t="n">
        <v>0.577056570762781</v>
      </c>
      <c r="Z55" s="11" t="n">
        <v>0.580114063030645</v>
      </c>
      <c r="AA55" s="11" t="n">
        <v>0.739849019698221</v>
      </c>
      <c r="AB55" s="11" t="n">
        <v>0.714748016401048</v>
      </c>
      <c r="AC55" s="11" t="n">
        <v>0.62046564927776</v>
      </c>
      <c r="AD55" s="11" t="n">
        <v>0.568838988121384</v>
      </c>
      <c r="AE55" s="11" t="n">
        <v>0.39786726674901</v>
      </c>
      <c r="AF55" s="11" t="n">
        <v>0.365313374041686</v>
      </c>
      <c r="AG55" s="11" t="n">
        <v>0.377926428764218</v>
      </c>
      <c r="AH55" s="11" t="n">
        <v>0.368168520875392</v>
      </c>
      <c r="AI55" s="11" t="n">
        <v>0.365816544629617</v>
      </c>
      <c r="AJ55" s="11" t="n">
        <v>0.393674218221008</v>
      </c>
      <c r="AK55" s="11" t="n">
        <v>0.35714368175873</v>
      </c>
      <c r="AL55" s="11" t="n">
        <v>0.341045187738303</v>
      </c>
      <c r="AM55" s="11" t="n">
        <v>0.486442348284053</v>
      </c>
      <c r="AN55" s="11" t="n">
        <v>0.46599015552127</v>
      </c>
      <c r="AO55" s="11" t="n">
        <v>0.447290447416029</v>
      </c>
      <c r="AP55" s="11" t="n">
        <v>0.408420167844947</v>
      </c>
      <c r="AQ55" s="11" t="n">
        <v>0.308196361344456</v>
      </c>
      <c r="AR55" s="11" t="n">
        <v>0.300100673666459</v>
      </c>
      <c r="AS55" s="11" t="n">
        <v>0.301563401363988</v>
      </c>
      <c r="AT55" s="11" t="n">
        <v>0.297234225862881</v>
      </c>
      <c r="AU55" s="11" t="n">
        <v>0.236651950554933</v>
      </c>
      <c r="AV55" s="11" t="n">
        <v>0.236781485604405</v>
      </c>
      <c r="AW55" s="11" t="n">
        <v>0.236252891995291</v>
      </c>
      <c r="AX55" s="11" t="n">
        <v>0.208704403445785</v>
      </c>
      <c r="AY55" s="11" t="n">
        <v>0.204346568904081</v>
      </c>
      <c r="AZ55" s="11" t="n">
        <v>0.197728493856375</v>
      </c>
      <c r="BA55" s="11" t="n">
        <v>0.19952785649233</v>
      </c>
      <c r="BB55" s="11" t="n">
        <v>0.200136676571539</v>
      </c>
      <c r="BC55" s="11" t="n">
        <v>0.199148299095962</v>
      </c>
      <c r="BD55" s="11" t="n">
        <v>0.19386386904632</v>
      </c>
      <c r="BE55" s="11" t="n">
        <v>0.184053649530674</v>
      </c>
      <c r="BF55" s="11" t="n">
        <v>0.178101889539159</v>
      </c>
      <c r="BG55" s="11" t="n">
        <v>0.171274811850295</v>
      </c>
      <c r="BH55" s="11" t="n">
        <v>0.172275854243753</v>
      </c>
      <c r="BI55" s="11" t="n">
        <v>0.173179102989705</v>
      </c>
      <c r="BJ55" s="11" t="n">
        <v>0.174028706302433</v>
      </c>
      <c r="BK55" s="11" t="n">
        <v>0.17426483755729</v>
      </c>
      <c r="BL55" s="11" t="n">
        <v>0.173958810576681</v>
      </c>
      <c r="BM55" s="11" t="n">
        <v>0.174469200479405</v>
      </c>
      <c r="BN55" s="11" t="n">
        <v>2.1491883068046</v>
      </c>
      <c r="BO55" s="11" t="n">
        <v>1.44374661279272</v>
      </c>
      <c r="BP55" s="11" t="n">
        <v>1.08381384380594</v>
      </c>
      <c r="BQ55" s="11" t="n">
        <v>0.976730350736825</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25.2680416794699</v>
      </c>
      <c r="AO60" s="11" t="n">
        <v>24.1751081658173</v>
      </c>
      <c r="AP60" s="11" t="n">
        <v>23.4636803259074</v>
      </c>
      <c r="AQ60" s="11" t="n">
        <v>22.6091348370385</v>
      </c>
      <c r="AR60" s="11" t="n">
        <v>21.7664460734942</v>
      </c>
      <c r="AS60" s="11" t="n">
        <v>20.5349043474728</v>
      </c>
      <c r="AT60" s="11" t="n">
        <v>19.2525241848313</v>
      </c>
      <c r="AU60" s="11" t="n">
        <v>18.5197193443842</v>
      </c>
      <c r="AV60" s="11" t="n">
        <v>17.5439530362666</v>
      </c>
      <c r="AW60" s="11" t="n">
        <v>17.1351908702142</v>
      </c>
      <c r="AX60" s="11" t="n">
        <v>16.728217067299</v>
      </c>
      <c r="AY60" s="11" t="n">
        <v>14.8217102666706</v>
      </c>
      <c r="AZ60" s="11" t="n">
        <v>14.4661337798368</v>
      </c>
      <c r="BA60" s="11" t="n">
        <v>13.9486029717668</v>
      </c>
      <c r="BB60" s="11" t="n">
        <v>13.1926784724331</v>
      </c>
      <c r="BC60" s="11" t="n">
        <v>12.8613128847898</v>
      </c>
      <c r="BD60" s="11" t="n">
        <v>11.6683208904671</v>
      </c>
      <c r="BE60" s="11" t="n">
        <v>10.9110090055446</v>
      </c>
      <c r="BF60" s="11" t="n">
        <v>10.6055926923247</v>
      </c>
      <c r="BG60" s="11" t="n">
        <v>10.5415940310541</v>
      </c>
      <c r="BH60" s="11" t="n">
        <v>10.4715581048919</v>
      </c>
      <c r="BI60" s="11" t="n">
        <v>10.4259172609768</v>
      </c>
      <c r="BJ60" s="11" t="n">
        <v>10.3664507850085</v>
      </c>
      <c r="BK60" s="11" t="n">
        <v>10.1013942246694</v>
      </c>
      <c r="BL60" s="11" t="n">
        <v>9.71537573708432</v>
      </c>
      <c r="BM60" s="11" t="n">
        <v>9.54710551702656</v>
      </c>
      <c r="BN60" s="11" t="n">
        <v>123.917690634438</v>
      </c>
      <c r="BO60" s="11" t="n">
        <v>102.682728787221</v>
      </c>
      <c r="BP60" s="11" t="n">
        <v>80.6952050202872</v>
      </c>
      <c r="BQ60" s="11" t="n">
        <v>62.5819242250014</v>
      </c>
    </row>
    <row r="61" customFormat="false" ht="13.8" hidden="false" customHeight="false" outlineLevel="0" collapsed="false">
      <c r="A61" s="11" t="s">
        <v>154</v>
      </c>
      <c r="B61" s="11" t="s">
        <v>148</v>
      </c>
      <c r="C61" s="11" t="s">
        <v>139</v>
      </c>
      <c r="D61" s="12"/>
      <c r="E61" s="11" t="n">
        <v>38.4113671371213</v>
      </c>
      <c r="F61" s="11" t="n">
        <v>38.8552949596067</v>
      </c>
      <c r="G61" s="11" t="n">
        <v>38.5388169594932</v>
      </c>
      <c r="H61" s="11" t="n">
        <v>36.3124596311372</v>
      </c>
      <c r="I61" s="11" t="n">
        <v>28.232131676279</v>
      </c>
      <c r="J61" s="11" t="n">
        <v>29.6414159904183</v>
      </c>
      <c r="K61" s="11" t="n">
        <v>27.8829795223238</v>
      </c>
      <c r="L61" s="11" t="n">
        <v>25.7455049253289</v>
      </c>
      <c r="M61" s="11" t="n">
        <v>23.2122609443943</v>
      </c>
      <c r="N61" s="11" t="n">
        <v>20.3132652404912</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10.4437304627497</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6.1985245851059</v>
      </c>
      <c r="AH61" s="11" t="n">
        <v>6.23642575869865</v>
      </c>
      <c r="AI61" s="11" t="n">
        <v>5.73448917987444</v>
      </c>
      <c r="AJ61" s="11" t="n">
        <v>5.38414606680817</v>
      </c>
      <c r="AK61" s="11" t="n">
        <v>5.0278931495823</v>
      </c>
      <c r="AL61" s="11" t="n">
        <v>4.74375700324067</v>
      </c>
      <c r="AM61" s="11" t="n">
        <v>4.67597743631238</v>
      </c>
      <c r="AN61" s="11" t="n">
        <v>4.61512241406316</v>
      </c>
      <c r="AO61" s="11" t="n">
        <v>4.51792750628438</v>
      </c>
      <c r="AP61" s="11" t="n">
        <v>4.43030750291352</v>
      </c>
      <c r="AQ61" s="11" t="n">
        <v>4.33646826125387</v>
      </c>
      <c r="AR61" s="11" t="n">
        <v>4.27008840866995</v>
      </c>
      <c r="AS61" s="11" t="n">
        <v>4.16448743737324</v>
      </c>
      <c r="AT61" s="11" t="n">
        <v>4.08648358182148</v>
      </c>
      <c r="AU61" s="11" t="n">
        <v>4.00447473770258</v>
      </c>
      <c r="AV61" s="11" t="n">
        <v>3.92332580440772</v>
      </c>
      <c r="AW61" s="11" t="n">
        <v>3.91347269788561</v>
      </c>
      <c r="AX61" s="11" t="n">
        <v>3.90549727258504</v>
      </c>
      <c r="AY61" s="11" t="n">
        <v>3.84684882800676</v>
      </c>
      <c r="AZ61" s="11" t="n">
        <v>3.79959827540583</v>
      </c>
      <c r="BA61" s="11" t="n">
        <v>3.79590615491806</v>
      </c>
      <c r="BB61" s="11" t="n">
        <v>3.77781940522521</v>
      </c>
      <c r="BC61" s="11" t="n">
        <v>3.77063900296634</v>
      </c>
      <c r="BD61" s="11" t="n">
        <v>3.70991771105148</v>
      </c>
      <c r="BE61" s="11" t="n">
        <v>3.67173501149236</v>
      </c>
      <c r="BF61" s="11" t="n">
        <v>3.66396274578556</v>
      </c>
      <c r="BG61" s="11" t="n">
        <v>3.66036799115508</v>
      </c>
      <c r="BH61" s="11" t="n">
        <v>3.65613155273198</v>
      </c>
      <c r="BI61" s="11" t="n">
        <v>3.65320293794732</v>
      </c>
      <c r="BJ61" s="11" t="n">
        <v>3.64144769140203</v>
      </c>
      <c r="BK61" s="11" t="n">
        <v>3.62837631180159</v>
      </c>
      <c r="BL61" s="11" t="n">
        <v>3.61480731612513</v>
      </c>
      <c r="BM61" s="11" t="n">
        <v>3.60813438543417</v>
      </c>
      <c r="BN61" s="11" t="n">
        <v>22.9830918628141</v>
      </c>
      <c r="BO61" s="11" t="n">
        <v>20.8620024268211</v>
      </c>
      <c r="BP61" s="11" t="n">
        <v>19.3887428782909</v>
      </c>
      <c r="BQ61" s="11" t="n">
        <v>18.7260172856534</v>
      </c>
    </row>
    <row r="62" customFormat="false" ht="13.8" hidden="false" customHeight="false" outlineLevel="0" collapsed="false">
      <c r="A62" s="11" t="s">
        <v>155</v>
      </c>
      <c r="B62" s="11" t="s">
        <v>148</v>
      </c>
      <c r="C62" s="11" t="s">
        <v>139</v>
      </c>
      <c r="D62" s="12"/>
      <c r="E62" s="11" t="n">
        <v>0.327529834632892</v>
      </c>
      <c r="F62" s="11" t="n">
        <v>0.328440613603457</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v>
      </c>
      <c r="W62" s="11" t="n">
        <v>0.379880436716057</v>
      </c>
      <c r="X62" s="11" t="n">
        <v>0.37277068789526</v>
      </c>
      <c r="Y62" s="11" t="n">
        <v>0.365140849631604</v>
      </c>
      <c r="Z62" s="11" t="n">
        <v>0.342415857790606</v>
      </c>
      <c r="AA62" s="11" t="n">
        <v>0.315708552441489</v>
      </c>
      <c r="AB62" s="11" t="n">
        <v>0.305020823964381</v>
      </c>
      <c r="AC62" s="11" t="n">
        <v>0.299790969640709</v>
      </c>
      <c r="AD62" s="11" t="n">
        <v>0.320768095937011</v>
      </c>
      <c r="AE62" s="11" t="n">
        <v>0.322075958204864</v>
      </c>
      <c r="AF62" s="11" t="n">
        <v>0.311959670394575</v>
      </c>
      <c r="AG62" s="11" t="n">
        <v>0.309251429820355</v>
      </c>
      <c r="AH62" s="11" t="n">
        <v>0.315565079233617</v>
      </c>
      <c r="AI62" s="11" t="n">
        <v>0.301940140392352</v>
      </c>
      <c r="AJ62" s="11" t="n">
        <v>0.258278891681824</v>
      </c>
      <c r="AK62" s="11" t="n">
        <v>0.242181704439128</v>
      </c>
      <c r="AL62" s="11" t="n">
        <v>0.236275707145654</v>
      </c>
      <c r="AM62" s="11" t="n">
        <v>0.308341110741022</v>
      </c>
      <c r="AN62" s="11" t="n">
        <v>0.290587847210401</v>
      </c>
      <c r="AO62" s="11" t="n">
        <v>0.281876083131668</v>
      </c>
      <c r="AP62" s="11" t="n">
        <v>0.270338052871941</v>
      </c>
      <c r="AQ62" s="11" t="n">
        <v>0.262762373251327</v>
      </c>
      <c r="AR62" s="11" t="n">
        <v>0.252579580155124</v>
      </c>
      <c r="AS62" s="11" t="n">
        <v>0.2427570097692</v>
      </c>
      <c r="AT62" s="11" t="n">
        <v>0.22975798018684</v>
      </c>
      <c r="AU62" s="11" t="n">
        <v>0.212556272885302</v>
      </c>
      <c r="AV62" s="11" t="n">
        <v>0.194943481678084</v>
      </c>
      <c r="AW62" s="11" t="n">
        <v>0.193246979550794</v>
      </c>
      <c r="AX62" s="11" t="n">
        <v>0.190690011945166</v>
      </c>
      <c r="AY62" s="11" t="n">
        <v>0.170336765928964</v>
      </c>
      <c r="AZ62" s="11" t="n">
        <v>0.0752418664902275</v>
      </c>
      <c r="BA62" s="11" t="n">
        <v>0.0749844617734801</v>
      </c>
      <c r="BB62" s="11" t="n">
        <v>0.0660319185804264</v>
      </c>
      <c r="BC62" s="11" t="n">
        <v>0.0655783640740425</v>
      </c>
      <c r="BD62" s="11" t="n">
        <v>0.0447396276631165</v>
      </c>
      <c r="BE62" s="11" t="n">
        <v>0.0350120527863845</v>
      </c>
      <c r="BF62" s="11" t="n">
        <v>0.0349505730640199</v>
      </c>
      <c r="BG62" s="11" t="n">
        <v>0.0348407191509909</v>
      </c>
      <c r="BH62" s="11" t="n">
        <v>0.0312018246889144</v>
      </c>
      <c r="BI62" s="11" t="n">
        <v>0.031309040022035</v>
      </c>
      <c r="BJ62" s="11" t="n">
        <v>0.0302555477479794</v>
      </c>
      <c r="BK62" s="11" t="n">
        <v>0.0245020916127991</v>
      </c>
      <c r="BL62" s="11" t="n">
        <v>0.0198630299678412</v>
      </c>
      <c r="BM62" s="11" t="n">
        <v>0.0172402600065636</v>
      </c>
      <c r="BN62" s="11" t="n">
        <v>1.38741880110069</v>
      </c>
      <c r="BO62" s="11" t="n">
        <v>1.20041321624779</v>
      </c>
      <c r="BP62" s="11" t="n">
        <v>0.824459105593235</v>
      </c>
      <c r="BQ62" s="11" t="n">
        <v>0.28634642487745</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41.7157833262764</v>
      </c>
      <c r="AO67" s="11" t="n">
        <v>40.3317199655448</v>
      </c>
      <c r="AP67" s="11" t="n">
        <v>39.6947422224084</v>
      </c>
      <c r="AQ67" s="11" t="n">
        <v>38.9207505205954</v>
      </c>
      <c r="AR67" s="11" t="n">
        <v>39.2664223908651</v>
      </c>
      <c r="AS67" s="11" t="n">
        <v>38.4092097516923</v>
      </c>
      <c r="AT67" s="11" t="n">
        <v>38.4444895844318</v>
      </c>
      <c r="AU67" s="11" t="n">
        <v>38.2037186337618</v>
      </c>
      <c r="AV67" s="11" t="n">
        <v>37.6277859439916</v>
      </c>
      <c r="AW67" s="11" t="n">
        <v>37.2166386653542</v>
      </c>
      <c r="AX67" s="11" t="n">
        <v>37.0981463470398</v>
      </c>
      <c r="AY67" s="11" t="n">
        <v>36.5891578738142</v>
      </c>
      <c r="AZ67" s="11" t="n">
        <v>35.9182213574036</v>
      </c>
      <c r="BA67" s="11" t="n">
        <v>35.8136974540574</v>
      </c>
      <c r="BB67" s="11" t="n">
        <v>35.9015938399772</v>
      </c>
      <c r="BC67" s="11" t="n">
        <v>35.6856977158581</v>
      </c>
      <c r="BD67" s="11" t="n">
        <v>36.1606420260223</v>
      </c>
      <c r="BE67" s="11" t="n">
        <v>36.687548450968</v>
      </c>
      <c r="BF67" s="11" t="n">
        <v>36.6236869723127</v>
      </c>
      <c r="BG67" s="11" t="n">
        <v>36.3357281959336</v>
      </c>
      <c r="BH67" s="11" t="n">
        <v>35.8920091015243</v>
      </c>
      <c r="BI67" s="11" t="n">
        <v>35.4214631159874</v>
      </c>
      <c r="BJ67" s="11" t="n">
        <v>34.7345965630438</v>
      </c>
      <c r="BK67" s="11" t="n">
        <v>34.9345602173119</v>
      </c>
      <c r="BL67" s="11" t="n">
        <v>33.843466886843</v>
      </c>
      <c r="BM67" s="11" t="n">
        <v>33.307094691646</v>
      </c>
      <c r="BN67" s="11" t="n">
        <v>202.805545137353</v>
      </c>
      <c r="BO67" s="11" t="n">
        <v>193.244590881346</v>
      </c>
      <c r="BP67" s="11" t="n">
        <v>184.449950187603</v>
      </c>
      <c r="BQ67" s="11" t="n">
        <v>180.249179486883</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0.00470553616881829</v>
      </c>
      <c r="AO68" s="11" t="n">
        <v>0.00458517306709838</v>
      </c>
      <c r="AP68" s="11" t="n">
        <v>0.00451532455233461</v>
      </c>
      <c r="AQ68" s="11" t="n">
        <v>0.0044379038394417</v>
      </c>
      <c r="AR68" s="11" t="n">
        <v>0.00444467793980131</v>
      </c>
      <c r="AS68" s="11" t="n">
        <v>0.00436271013207668</v>
      </c>
      <c r="AT68" s="11" t="n">
        <v>0.00434714830643254</v>
      </c>
      <c r="AU68" s="11" t="n">
        <v>0.00431370902316146</v>
      </c>
      <c r="AV68" s="11" t="n">
        <v>0.00425358707688592</v>
      </c>
      <c r="AW68" s="11" t="n">
        <v>0.00420533295989446</v>
      </c>
      <c r="AX68" s="11" t="n">
        <v>0.00418376540072138</v>
      </c>
      <c r="AY68" s="11" t="n">
        <v>0.0041388769452425</v>
      </c>
      <c r="AZ68" s="11" t="n">
        <v>0.00408246549447917</v>
      </c>
      <c r="BA68" s="11" t="n">
        <v>0.00406094342179965</v>
      </c>
      <c r="BB68" s="11" t="n">
        <v>0.00405691891697305</v>
      </c>
      <c r="BC68" s="11" t="n">
        <v>0.00402657938020828</v>
      </c>
      <c r="BD68" s="11" t="n">
        <v>0.00404413926756499</v>
      </c>
      <c r="BE68" s="11" t="n">
        <v>0.00406367632437235</v>
      </c>
      <c r="BF68" s="11" t="n">
        <v>0.00399018156004554</v>
      </c>
      <c r="BG68" s="11" t="n">
        <v>0.00389607448716321</v>
      </c>
      <c r="BH68" s="11" t="n">
        <v>0.00379090341208511</v>
      </c>
      <c r="BI68" s="11" t="n">
        <v>0.00368488716368736</v>
      </c>
      <c r="BJ68" s="11" t="n">
        <v>0.00356290270587495</v>
      </c>
      <c r="BK68" s="11" t="n">
        <v>0.00350633926770168</v>
      </c>
      <c r="BL68" s="11" t="n">
        <v>0.00335973718568122</v>
      </c>
      <c r="BM68" s="11" t="n">
        <v>0.00325725004990249</v>
      </c>
      <c r="BN68" s="11" t="n">
        <v>0.0231710699573448</v>
      </c>
      <c r="BO68" s="11" t="n">
        <v>0.0219061492409137</v>
      </c>
      <c r="BP68" s="11" t="n">
        <v>0.0208640278772234</v>
      </c>
      <c r="BQ68" s="11" t="n">
        <v>0.0202522573109183</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0.375872011388632</v>
      </c>
      <c r="AO69" s="11" t="n">
        <v>0.363864067853556</v>
      </c>
      <c r="AP69" s="11" t="n">
        <v>0.358150624853152</v>
      </c>
      <c r="AQ69" s="11" t="n">
        <v>0.351304686893078</v>
      </c>
      <c r="AR69" s="11" t="n">
        <v>0.354002247579535</v>
      </c>
      <c r="AS69" s="11" t="n">
        <v>0.346469118776747</v>
      </c>
      <c r="AT69" s="11" t="n">
        <v>0.346534042822323</v>
      </c>
      <c r="AU69" s="11" t="n">
        <v>0.344283325267655</v>
      </c>
      <c r="AV69" s="11" t="n">
        <v>0.339156688946744</v>
      </c>
      <c r="AW69" s="11" t="n">
        <v>0.335427831805099</v>
      </c>
      <c r="AX69" s="11" t="n">
        <v>0.334254011625426</v>
      </c>
      <c r="AY69" s="11" t="n">
        <v>0.329830007153437</v>
      </c>
      <c r="AZ69" s="11" t="n">
        <v>0.324034109818168</v>
      </c>
      <c r="BA69" s="11" t="n">
        <v>0.322966341967547</v>
      </c>
      <c r="BB69" s="11" t="n">
        <v>0.323577876026921</v>
      </c>
      <c r="BC69" s="11" t="n">
        <v>0.321555092344894</v>
      </c>
      <c r="BD69" s="11" t="n">
        <v>0.325368297479554</v>
      </c>
      <c r="BE69" s="11" t="n">
        <v>0.329599417900837</v>
      </c>
      <c r="BF69" s="11" t="n">
        <v>0.328165884425265</v>
      </c>
      <c r="BG69" s="11" t="n">
        <v>0.324773563630913</v>
      </c>
      <c r="BH69" s="11" t="n">
        <v>0.320062009721528</v>
      </c>
      <c r="BI69" s="11" t="n">
        <v>0.31513696842651</v>
      </c>
      <c r="BJ69" s="11" t="n">
        <v>0.308371971863813</v>
      </c>
      <c r="BK69" s="11" t="n">
        <v>0.309149527168561</v>
      </c>
      <c r="BL69" s="11" t="n">
        <v>0.299013892362344</v>
      </c>
      <c r="BM69" s="11" t="n">
        <v>0.293637537254966</v>
      </c>
      <c r="BN69" s="11" t="n">
        <v>1.83115404818567</v>
      </c>
      <c r="BO69" s="11" t="n">
        <v>1.74259342133934</v>
      </c>
      <c r="BP69" s="11" t="n">
        <v>1.66270264934887</v>
      </c>
      <c r="BQ69" s="11" t="n">
        <v>1.62306702571975</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41.8265646840212</v>
      </c>
      <c r="AN74" s="11" t="n">
        <v>39.5785832204155</v>
      </c>
      <c r="AO74" s="11" t="n">
        <v>38.9144925821714</v>
      </c>
      <c r="AP74" s="11" t="n">
        <v>38.853646869411</v>
      </c>
      <c r="AQ74" s="11" t="n">
        <v>38.8515703740898</v>
      </c>
      <c r="AR74" s="11" t="n">
        <v>38.8496466402562</v>
      </c>
      <c r="AS74" s="11" t="n">
        <v>38.8330041696768</v>
      </c>
      <c r="AT74" s="11" t="n">
        <v>39.0604047675831</v>
      </c>
      <c r="AU74" s="11" t="n">
        <v>39.1411162159318</v>
      </c>
      <c r="AV74" s="11" t="n">
        <v>39.435243205756</v>
      </c>
      <c r="AW74" s="11" t="n">
        <v>39.4250542234015</v>
      </c>
      <c r="AX74" s="11" t="n">
        <v>39.5736428597399</v>
      </c>
      <c r="AY74" s="11" t="n">
        <v>39.7688974081918</v>
      </c>
      <c r="AZ74" s="11" t="n">
        <v>40.1768596139234</v>
      </c>
      <c r="BA74" s="11" t="n">
        <v>40.436769503829</v>
      </c>
      <c r="BB74" s="11" t="n">
        <v>40.8336577132541</v>
      </c>
      <c r="BC74" s="11" t="n">
        <v>41.5575572968692</v>
      </c>
      <c r="BD74" s="11" t="n">
        <v>42.4005532112459</v>
      </c>
      <c r="BE74" s="11" t="n">
        <v>42.7565926585165</v>
      </c>
      <c r="BF74" s="11" t="n">
        <v>43.1824779021657</v>
      </c>
      <c r="BG74" s="11" t="n">
        <v>43.6620357007179</v>
      </c>
      <c r="BH74" s="11" t="n">
        <v>44.2522430110121</v>
      </c>
      <c r="BI74" s="11" t="n">
        <v>44.7775532613937</v>
      </c>
      <c r="BJ74" s="11" t="n">
        <v>45.3554814712031</v>
      </c>
      <c r="BK74" s="11" t="n">
        <v>45.8487003223883</v>
      </c>
      <c r="BL74" s="11" t="n">
        <v>46.2267350069475</v>
      </c>
      <c r="BM74" s="11" t="n">
        <v>46.735772364013</v>
      </c>
      <c r="BN74" s="11" t="n">
        <v>210.71843278198</v>
      </c>
      <c r="BO74" s="11" t="n">
        <v>194.735742167538</v>
      </c>
      <c r="BP74" s="11" t="n">
        <v>198.379697311013</v>
      </c>
      <c r="BQ74" s="11" t="n">
        <v>207.985130383715</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0.124219718454286</v>
      </c>
      <c r="AN75" s="11" t="n">
        <v>0.121830336688397</v>
      </c>
      <c r="AO75" s="11" t="n">
        <v>0.121761422274772</v>
      </c>
      <c r="AP75" s="11" t="n">
        <v>0.121550614640167</v>
      </c>
      <c r="AQ75" s="11" t="n">
        <v>0.122352488144287</v>
      </c>
      <c r="AR75" s="11" t="n">
        <v>0.12248181101792</v>
      </c>
      <c r="AS75" s="11" t="n">
        <v>0.122618830087441</v>
      </c>
      <c r="AT75" s="11" t="n">
        <v>0.123264585798016</v>
      </c>
      <c r="AU75" s="11" t="n">
        <v>0.12344498181257</v>
      </c>
      <c r="AV75" s="11" t="n">
        <v>0.122932928250463</v>
      </c>
      <c r="AW75" s="11" t="n">
        <v>0.121357391465686</v>
      </c>
      <c r="AX75" s="11" t="n">
        <v>0.118256859831652</v>
      </c>
      <c r="AY75" s="11" t="n">
        <v>0.115175568178824</v>
      </c>
      <c r="AZ75" s="11" t="n">
        <v>0.110438527616239</v>
      </c>
      <c r="BA75" s="11" t="n">
        <v>0.107600033048716</v>
      </c>
      <c r="BB75" s="11" t="n">
        <v>0.106886069951505</v>
      </c>
      <c r="BC75" s="11" t="n">
        <v>0.107752734210318</v>
      </c>
      <c r="BD75" s="11" t="n">
        <v>0.108235304195997</v>
      </c>
      <c r="BE75" s="11" t="n">
        <v>0.108377378788096</v>
      </c>
      <c r="BF75" s="11" t="n">
        <v>0.109769418569651</v>
      </c>
      <c r="BG75" s="11" t="n">
        <v>0.111173968616946</v>
      </c>
      <c r="BH75" s="11" t="n">
        <v>0.112418299889922</v>
      </c>
      <c r="BI75" s="11" t="n">
        <v>0.113551656646198</v>
      </c>
      <c r="BJ75" s="11" t="n">
        <v>0.114647854734259</v>
      </c>
      <c r="BK75" s="11" t="n">
        <v>0.115855311920786</v>
      </c>
      <c r="BL75" s="11" t="n">
        <v>0.117383682311913</v>
      </c>
      <c r="BM75" s="11" t="n">
        <v>0.118960249270092</v>
      </c>
      <c r="BN75" s="11" t="n">
        <v>0.625964361256233</v>
      </c>
      <c r="BO75" s="11" t="n">
        <v>0.614162696860235</v>
      </c>
      <c r="BP75" s="11" t="n">
        <v>0.588161275342864</v>
      </c>
      <c r="BQ75" s="11" t="n">
        <v>0.538851520194632</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4.86435115055119</v>
      </c>
      <c r="O76" s="11" t="n">
        <v>5.03119711253612</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0.482486962557309</v>
      </c>
      <c r="AB76" s="11" t="n">
        <v>0.429079725761066</v>
      </c>
      <c r="AC76" s="11" t="n">
        <v>0.460815168912919</v>
      </c>
      <c r="AD76" s="11" t="n">
        <v>0.418050736965471</v>
      </c>
      <c r="AE76" s="11" t="n">
        <v>0.386513048337779</v>
      </c>
      <c r="AF76" s="11" t="n">
        <v>0.412200815328678</v>
      </c>
      <c r="AG76" s="11" t="n">
        <v>0.429228078343805</v>
      </c>
      <c r="AH76" s="11" t="n">
        <v>0.415869088543474</v>
      </c>
      <c r="AI76" s="11" t="n">
        <v>0.341792392713469</v>
      </c>
      <c r="AJ76" s="11" t="n">
        <v>0.338920120245381</v>
      </c>
      <c r="AK76" s="11" t="n">
        <v>0.304056990866258</v>
      </c>
      <c r="AL76" s="11" t="n">
        <v>0.320998168689842</v>
      </c>
      <c r="AM76" s="11" t="n">
        <v>0.308762854882558</v>
      </c>
      <c r="AN76" s="11" t="n">
        <v>0.308194083686041</v>
      </c>
      <c r="AO76" s="11" t="n">
        <v>0.3088025284094</v>
      </c>
      <c r="AP76" s="11" t="n">
        <v>0.30939911903021</v>
      </c>
      <c r="AQ76" s="11" t="n">
        <v>0.310861246742526</v>
      </c>
      <c r="AR76" s="11" t="n">
        <v>0.312774994339895</v>
      </c>
      <c r="AS76" s="11" t="n">
        <v>0.315308130397675</v>
      </c>
      <c r="AT76" s="11" t="n">
        <v>0.317032559793576</v>
      </c>
      <c r="AU76" s="11" t="n">
        <v>0.318120384183172</v>
      </c>
      <c r="AV76" s="11" t="n">
        <v>0.318350086392244</v>
      </c>
      <c r="AW76" s="11" t="n">
        <v>0.31781993649923</v>
      </c>
      <c r="AX76" s="11" t="n">
        <v>0.315452054442854</v>
      </c>
      <c r="AY76" s="11" t="n">
        <v>0.312531552030902</v>
      </c>
      <c r="AZ76" s="11" t="n">
        <v>0.30873810270046</v>
      </c>
      <c r="BA76" s="11" t="n">
        <v>0.308166318901586</v>
      </c>
      <c r="BB76" s="11" t="n">
        <v>0.310698469187695</v>
      </c>
      <c r="BC76" s="11" t="n">
        <v>0.313917486240354</v>
      </c>
      <c r="BD76" s="11" t="n">
        <v>0.316878074753312</v>
      </c>
      <c r="BE76" s="11" t="n">
        <v>0.319292224835619</v>
      </c>
      <c r="BF76" s="11" t="n">
        <v>0.32329878275311</v>
      </c>
      <c r="BG76" s="11" t="n">
        <v>0.327337958505665</v>
      </c>
      <c r="BH76" s="11" t="n">
        <v>0.331181148429004</v>
      </c>
      <c r="BI76" s="11" t="n">
        <v>0.335400788860141</v>
      </c>
      <c r="BJ76" s="11" t="n">
        <v>0.339593136018911</v>
      </c>
      <c r="BK76" s="11" t="n">
        <v>0.343938423866656</v>
      </c>
      <c r="BL76" s="11" t="n">
        <v>0.348708769882478</v>
      </c>
      <c r="BM76" s="11" t="n">
        <v>0.35353286774761</v>
      </c>
      <c r="BN76" s="11" t="n">
        <v>1.55615675469805</v>
      </c>
      <c r="BO76" s="11" t="n">
        <v>1.57409731545685</v>
      </c>
      <c r="BP76" s="11" t="n">
        <v>1.57289173206569</v>
      </c>
      <c r="BQ76" s="11" t="n">
        <v>1.56895257391857</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14.0785716356003</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2.69499743669116</v>
      </c>
      <c r="S77" s="11" t="n">
        <v>1.12703958186289</v>
      </c>
      <c r="T77" s="11" t="n">
        <v>1.17738858479048</v>
      </c>
      <c r="U77" s="11" t="n">
        <v>1.18654379751043</v>
      </c>
      <c r="V77" s="11" t="n">
        <v>0.998444187189309</v>
      </c>
      <c r="W77" s="11" t="n">
        <v>0.98434467653681</v>
      </c>
      <c r="X77" s="11" t="n">
        <v>0.986717488794266</v>
      </c>
      <c r="Y77" s="11" t="n">
        <v>1.04360027741906</v>
      </c>
      <c r="Z77" s="11" t="n">
        <v>1.12555768771586</v>
      </c>
      <c r="AA77" s="11" t="n">
        <v>1.18240823535114</v>
      </c>
      <c r="AB77" s="11" t="n">
        <v>1.19754396726382</v>
      </c>
      <c r="AC77" s="11" t="n">
        <v>1.09407297472769</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0.482864113787379</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0.186590750928914</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0.0919996124852703</v>
      </c>
      <c r="BH77" s="11" t="n">
        <v>0.0844347772643882</v>
      </c>
      <c r="BI77" s="11" t="n">
        <v>0.0775333629874345</v>
      </c>
      <c r="BJ77" s="11" t="n">
        <v>0.0713179532877864</v>
      </c>
      <c r="BK77" s="11" t="n">
        <v>0.0658073414465578</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1.48366130882975</v>
      </c>
      <c r="F78" s="11" t="n">
        <v>1.24305334298279</v>
      </c>
      <c r="G78" s="11" t="n">
        <v>0.617640551647897</v>
      </c>
      <c r="H78" s="11" t="n">
        <v>0.538700846476154</v>
      </c>
      <c r="I78" s="11" t="n">
        <v>0.546409279966551</v>
      </c>
      <c r="J78" s="11" t="n">
        <v>0.532812121772292</v>
      </c>
      <c r="K78" s="11" t="n">
        <v>0.530646387885412</v>
      </c>
      <c r="L78" s="11" t="n">
        <v>0.44445268402011</v>
      </c>
      <c r="M78" s="11" t="n">
        <v>0.43171766732139</v>
      </c>
      <c r="N78" s="11" t="n">
        <v>0.407642882276656</v>
      </c>
      <c r="O78" s="11" t="n">
        <v>0.51344845306472</v>
      </c>
      <c r="P78" s="11" t="n">
        <v>0.426851949457178</v>
      </c>
      <c r="Q78" s="11" t="n">
        <v>0.358954196446408</v>
      </c>
      <c r="R78" s="11" t="n">
        <v>0.313808976049458</v>
      </c>
      <c r="S78" s="11" t="n">
        <v>0.398856113928176</v>
      </c>
      <c r="T78" s="11" t="n">
        <v>0.365128105171605</v>
      </c>
      <c r="U78" s="11" t="n">
        <v>0.367555231485997</v>
      </c>
      <c r="V78" s="11" t="n">
        <v>0.276529099776064</v>
      </c>
      <c r="W78" s="11" t="n">
        <v>0.254880819288731</v>
      </c>
      <c r="X78" s="11" t="n">
        <v>0.19500676652889</v>
      </c>
      <c r="Y78" s="11" t="n">
        <v>0.281496039558142</v>
      </c>
      <c r="Z78" s="11" t="n">
        <v>0.399303588048535</v>
      </c>
      <c r="AA78" s="11" t="n">
        <v>0.243138181819986</v>
      </c>
      <c r="AB78" s="11" t="n">
        <v>0.294217429839836</v>
      </c>
      <c r="AC78" s="11" t="n">
        <v>0.23782779605641</v>
      </c>
      <c r="AD78" s="11" t="n">
        <v>0.274427975434271</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0.145322964863699</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0.788373788456026</v>
      </c>
      <c r="BP78" s="11" t="n">
        <v>0.788373788456026</v>
      </c>
      <c r="BQ78" s="11" t="n">
        <v>0.788373788456026</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0.426418736992623</v>
      </c>
      <c r="AE79" s="11" t="n">
        <v>0.458386532676318</v>
      </c>
      <c r="AF79" s="11" t="n">
        <v>0.460093295564997</v>
      </c>
      <c r="AG79" s="11" t="n">
        <v>0.565037427403676</v>
      </c>
      <c r="AH79" s="11" t="n">
        <v>0.49719676355469</v>
      </c>
      <c r="AI79" s="11" t="n">
        <v>0.425406162786779</v>
      </c>
      <c r="AJ79" s="11" t="n">
        <v>0.38749956929647</v>
      </c>
      <c r="AK79" s="11" t="n">
        <v>0.333442729385777</v>
      </c>
      <c r="AL79" s="11" t="n">
        <v>0.301791676439176</v>
      </c>
      <c r="AM79" s="11" t="n">
        <v>0.307854862676676</v>
      </c>
      <c r="AN79" s="11" t="n">
        <v>0.314290204270113</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0.372815184884234</v>
      </c>
      <c r="AW79" s="11" t="n">
        <v>0.380977508595361</v>
      </c>
      <c r="AX79" s="11" t="n">
        <v>0.389343890399265</v>
      </c>
      <c r="AY79" s="11" t="n">
        <v>0.389343890399265</v>
      </c>
      <c r="AZ79" s="11" t="n">
        <v>0.389343890399265</v>
      </c>
      <c r="BA79" s="11" t="n">
        <v>0.389343890399265</v>
      </c>
      <c r="BB79" s="11" t="n">
        <v>0.389343890399265</v>
      </c>
      <c r="BC79" s="11" t="n">
        <v>0.389343890399265</v>
      </c>
      <c r="BD79" s="11" t="n">
        <v>0.389343890399265</v>
      </c>
      <c r="BE79" s="11" t="n">
        <v>0.389343890399265</v>
      </c>
      <c r="BF79" s="11" t="n">
        <v>0.389343890399265</v>
      </c>
      <c r="BG79" s="11" t="n">
        <v>0.389343890399265</v>
      </c>
      <c r="BH79" s="11" t="n">
        <v>0.389343890399265</v>
      </c>
      <c r="BI79" s="11" t="n">
        <v>0.389343890399265</v>
      </c>
      <c r="BJ79" s="11" t="n">
        <v>0.389343890399265</v>
      </c>
      <c r="BK79" s="11" t="n">
        <v>0.389343890399265</v>
      </c>
      <c r="BL79" s="11" t="n">
        <v>0.389343890399265</v>
      </c>
      <c r="BM79" s="11" t="n">
        <v>0.389343890399265</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5.55186504357902</v>
      </c>
      <c r="H82" s="11" t="n">
        <v>5.54746647872344</v>
      </c>
      <c r="I82" s="11" t="n">
        <v>5.53902951394119</v>
      </c>
      <c r="J82" s="11" t="n">
        <v>5.54965155198649</v>
      </c>
      <c r="K82" s="11" t="n">
        <v>5.53405930164697</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5.57797283010562</v>
      </c>
      <c r="X82" s="11" t="n">
        <v>5.57878522339053</v>
      </c>
      <c r="Y82" s="11" t="n">
        <v>5.60501096444991</v>
      </c>
      <c r="Z82" s="11" t="n">
        <v>5.62372281146323</v>
      </c>
      <c r="AA82" s="11" t="n">
        <v>5.61193731105979</v>
      </c>
      <c r="AB82" s="11" t="n">
        <v>5.62617031143543</v>
      </c>
      <c r="AC82" s="11" t="n">
        <v>5.60602836886574</v>
      </c>
      <c r="AD82" s="11" t="n">
        <v>5.62278898771431</v>
      </c>
      <c r="AE82" s="11" t="n">
        <v>5.64143854355453</v>
      </c>
      <c r="AF82" s="11" t="n">
        <v>5.63907784389892</v>
      </c>
      <c r="AG82" s="11" t="n">
        <v>5.69160270708721</v>
      </c>
      <c r="AH82" s="11" t="n">
        <v>5.70956542589149</v>
      </c>
      <c r="AI82" s="11" t="n">
        <v>5.68909600002544</v>
      </c>
      <c r="AJ82" s="11" t="n">
        <v>5.69657165648638</v>
      </c>
      <c r="AK82" s="11" t="n">
        <v>5.71939302059153</v>
      </c>
      <c r="AL82" s="11" t="n">
        <v>5.75129142539663</v>
      </c>
      <c r="AM82" s="11" t="n">
        <v>5.77843961940047</v>
      </c>
      <c r="AN82" s="11" t="n">
        <v>5.82893431121417</v>
      </c>
      <c r="AO82" s="11" t="n">
        <v>5.87516461238546</v>
      </c>
      <c r="AP82" s="11" t="n">
        <v>5.92092678246998</v>
      </c>
      <c r="AQ82" s="11" t="n">
        <v>5.96055627423853</v>
      </c>
      <c r="AR82" s="11" t="n">
        <v>6.00469813847712</v>
      </c>
      <c r="AS82" s="11" t="n">
        <v>6.04871755683646</v>
      </c>
      <c r="AT82" s="11" t="n">
        <v>6.05489975770093</v>
      </c>
      <c r="AU82" s="11" t="n">
        <v>6.05930697368643</v>
      </c>
      <c r="AV82" s="11" t="n">
        <v>6.05892463983378</v>
      </c>
      <c r="AW82" s="11" t="n">
        <v>6.05840612219305</v>
      </c>
      <c r="AX82" s="11" t="n">
        <v>6.05759619889438</v>
      </c>
      <c r="AY82" s="11" t="n">
        <v>6.05669382061206</v>
      </c>
      <c r="AZ82" s="11" t="n">
        <v>6.05564215321823</v>
      </c>
      <c r="BA82" s="11" t="n">
        <v>6.05407666296171</v>
      </c>
      <c r="BB82" s="11" t="n">
        <v>6.05265111772195</v>
      </c>
      <c r="BC82" s="11" t="n">
        <v>6.05111180786035</v>
      </c>
      <c r="BD82" s="11" t="n">
        <v>6.05087833472176</v>
      </c>
      <c r="BE82" s="11" t="n">
        <v>6.05117502944991</v>
      </c>
      <c r="BF82" s="11" t="n">
        <v>6.05153060471665</v>
      </c>
      <c r="BG82" s="11" t="n">
        <v>6.04367299685357</v>
      </c>
      <c r="BH82" s="11" t="n">
        <v>6.03767307245211</v>
      </c>
      <c r="BI82" s="11" t="n">
        <v>6.02978817960862</v>
      </c>
      <c r="BJ82" s="11" t="n">
        <v>6.02218043965274</v>
      </c>
      <c r="BK82" s="11" t="n">
        <v>6.01467645946509</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1.54590973355711</v>
      </c>
      <c r="U83" s="11" t="n">
        <v>1.51233022580462</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23.2896131299309</v>
      </c>
      <c r="AD89" s="11" t="n">
        <v>22.4598930752036</v>
      </c>
      <c r="AE89" s="11" t="n">
        <v>21.2504093971715</v>
      </c>
      <c r="AF89" s="11" t="n">
        <v>21.5202362651174</v>
      </c>
      <c r="AG89" s="11" t="n">
        <v>21.3909566422106</v>
      </c>
      <c r="AH89" s="11" t="n">
        <v>20.9216203724665</v>
      </c>
      <c r="AI89" s="11" t="n">
        <v>19.3965300882596</v>
      </c>
      <c r="AJ89" s="11" t="n">
        <v>18.2511641416297</v>
      </c>
      <c r="AK89" s="11" t="n">
        <v>18.1536780644355</v>
      </c>
      <c r="AL89" s="11" t="n">
        <v>17.9881834052639</v>
      </c>
      <c r="AM89" s="11" t="n">
        <v>17.1816180724298</v>
      </c>
      <c r="AN89" s="11" t="n">
        <v>16.805332368613</v>
      </c>
      <c r="AO89" s="11" t="n">
        <v>16.3804599170286</v>
      </c>
      <c r="AP89" s="11" t="n">
        <v>16.6856540403366</v>
      </c>
      <c r="AQ89" s="11" t="n">
        <v>15.7084044980238</v>
      </c>
      <c r="AR89" s="11" t="n">
        <v>14.8484486297686</v>
      </c>
      <c r="AS89" s="11" t="n">
        <v>14.058023031111</v>
      </c>
      <c r="AT89" s="11" t="n">
        <v>13.3612765882142</v>
      </c>
      <c r="AU89" s="11" t="n">
        <v>12.7482354035582</v>
      </c>
      <c r="AV89" s="11" t="n">
        <v>12.2106731334783</v>
      </c>
      <c r="AW89" s="11" t="n">
        <v>11.7432322229737</v>
      </c>
      <c r="AX89" s="11" t="n">
        <v>11.3381303755507</v>
      </c>
      <c r="AY89" s="11" t="n">
        <v>10.9873473505523</v>
      </c>
      <c r="AZ89" s="11" t="n">
        <v>10.6831763987796</v>
      </c>
      <c r="BA89" s="11" t="n">
        <v>10.4215025415605</v>
      </c>
      <c r="BB89" s="11" t="n">
        <v>10.1985929507016</v>
      </c>
      <c r="BC89" s="11" t="n">
        <v>10.0113030599559</v>
      </c>
      <c r="BD89" s="11" t="n">
        <v>9.89321071609362</v>
      </c>
      <c r="BE89" s="11" t="n">
        <v>9.8046886607539</v>
      </c>
      <c r="BF89" s="11" t="n">
        <v>9.74328347267451</v>
      </c>
      <c r="BG89" s="11" t="n">
        <v>9.70676731636727</v>
      </c>
      <c r="BH89" s="11" t="n">
        <v>9.69387380412161</v>
      </c>
      <c r="BI89" s="11" t="n">
        <v>9.7013006501212</v>
      </c>
      <c r="BJ89" s="11" t="n">
        <v>9.72719598973844</v>
      </c>
      <c r="BK89" s="11" t="n">
        <v>9.77005327826599</v>
      </c>
      <c r="BL89" s="11" t="n">
        <v>9.82869102542336</v>
      </c>
      <c r="BM89" s="11" t="n">
        <v>9.90200865914175</v>
      </c>
      <c r="BN89" s="11" t="n">
        <v>85.0412478036718</v>
      </c>
      <c r="BO89" s="11" t="n">
        <v>70.7243881506757</v>
      </c>
      <c r="BP89" s="11" t="n">
        <v>56.9625594813346</v>
      </c>
      <c r="BQ89" s="11" t="n">
        <v>50.3292979290655</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0.904938172599068</v>
      </c>
      <c r="I90" s="11" t="n">
        <v>0.914476012595916</v>
      </c>
      <c r="J90" s="11" t="n">
        <v>0.933558892577923</v>
      </c>
      <c r="K90" s="11" t="n">
        <v>0.968449580784931</v>
      </c>
      <c r="L90" s="11" t="n">
        <v>0.97969326745571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162</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v>
      </c>
      <c r="H4" s="11" t="n">
        <v>778.360752029278</v>
      </c>
      <c r="I4" s="11" t="n">
        <v>765.820753611057</v>
      </c>
      <c r="J4" s="11" t="n">
        <v>759.200161760264</v>
      </c>
      <c r="K4" s="11" t="n">
        <v>779.071811500093</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362.898786020017</v>
      </c>
      <c r="AO4" s="11" t="n">
        <v>354.744506534511</v>
      </c>
      <c r="AP4" s="11" t="n">
        <v>348.072934463033</v>
      </c>
      <c r="AQ4" s="11" t="n">
        <v>340.09367986565</v>
      </c>
      <c r="AR4" s="11" t="n">
        <v>333.009438236142</v>
      </c>
      <c r="AS4" s="11" t="n">
        <v>326.156776221917</v>
      </c>
      <c r="AT4" s="11" t="n">
        <v>318.581297469546</v>
      </c>
      <c r="AU4" s="11" t="n">
        <v>312.619323417301</v>
      </c>
      <c r="AV4" s="11" t="n">
        <v>307.683256852464</v>
      </c>
      <c r="AW4" s="11" t="n">
        <v>303.634811286583</v>
      </c>
      <c r="AX4" s="11" t="n">
        <v>300.056268336914</v>
      </c>
      <c r="AY4" s="11" t="n">
        <v>293.734010766508</v>
      </c>
      <c r="AZ4" s="11" t="n">
        <v>290.05603428997</v>
      </c>
      <c r="BA4" s="11" t="n">
        <v>286.865111505372</v>
      </c>
      <c r="BB4" s="11" t="n">
        <v>283.977968859748</v>
      </c>
      <c r="BC4" s="11" t="n">
        <v>282.397579566003</v>
      </c>
      <c r="BD4" s="11" t="n">
        <v>281.307601378866</v>
      </c>
      <c r="BE4" s="11" t="n">
        <v>280.495920778467</v>
      </c>
      <c r="BF4" s="11" t="n">
        <v>280.119330143395</v>
      </c>
      <c r="BG4" s="11" t="n">
        <v>280.253192857713</v>
      </c>
      <c r="BH4" s="11" t="n">
        <v>279.642911912394</v>
      </c>
      <c r="BI4" s="11" t="n">
        <v>280.121666979502</v>
      </c>
      <c r="BJ4" s="11" t="n">
        <v>280.686002804573</v>
      </c>
      <c r="BK4" s="11" t="n">
        <v>281.97837060229</v>
      </c>
      <c r="BL4" s="11" t="n">
        <v>282.002383786784</v>
      </c>
      <c r="BM4" s="11" t="n">
        <v>280.921836107797</v>
      </c>
      <c r="BN4" s="11" t="n">
        <v>1822.44827048293</v>
      </c>
      <c r="BO4" s="11" t="n">
        <v>1630.46051521056</v>
      </c>
      <c r="BP4" s="11" t="n">
        <v>1495.16438153244</v>
      </c>
      <c r="BQ4" s="11" t="n">
        <v>1415.04418208846</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405.512653250678</v>
      </c>
      <c r="AO5" s="11" t="n">
        <v>396.782574157864</v>
      </c>
      <c r="AP5" s="11" t="n">
        <v>389.873707378762</v>
      </c>
      <c r="AQ5" s="11" t="n">
        <v>380.891325281021</v>
      </c>
      <c r="AR5" s="11" t="n">
        <v>373.992433057556</v>
      </c>
      <c r="AS5" s="11" t="n">
        <v>366.070974494653</v>
      </c>
      <c r="AT5" s="11" t="n">
        <v>358.357034295619</v>
      </c>
      <c r="AU5" s="11" t="n">
        <v>351.979836051003</v>
      </c>
      <c r="AV5" s="11" t="n">
        <v>346.291668818901</v>
      </c>
      <c r="AW5" s="11" t="n">
        <v>341.670091188054</v>
      </c>
      <c r="AX5" s="11" t="n">
        <v>337.825374607186</v>
      </c>
      <c r="AY5" s="11" t="n">
        <v>330.845169796302</v>
      </c>
      <c r="AZ5" s="11" t="n">
        <v>326.352458958764</v>
      </c>
      <c r="BA5" s="11" t="n">
        <v>322.924110479282</v>
      </c>
      <c r="BB5" s="11" t="n">
        <v>319.994664242073</v>
      </c>
      <c r="BC5" s="11" t="n">
        <v>318.069140116053</v>
      </c>
      <c r="BD5" s="11" t="n">
        <v>317.387681894236</v>
      </c>
      <c r="BE5" s="11" t="n">
        <v>317.034440217797</v>
      </c>
      <c r="BF5" s="11" t="n">
        <v>316.52500816328</v>
      </c>
      <c r="BG5" s="11" t="n">
        <v>316.303789770938</v>
      </c>
      <c r="BH5" s="11" t="n">
        <v>315.18533084592</v>
      </c>
      <c r="BI5" s="11" t="n">
        <v>315.130998163828</v>
      </c>
      <c r="BJ5" s="11" t="n">
        <v>314.950948489752</v>
      </c>
      <c r="BK5" s="11" t="n">
        <v>316.371604822682</v>
      </c>
      <c r="BL5" s="11" t="n">
        <v>315.258455186369</v>
      </c>
      <c r="BM5" s="11" t="n">
        <v>313.587533622505</v>
      </c>
      <c r="BN5" s="11" t="n">
        <v>2030.70691025606</v>
      </c>
      <c r="BO5" s="11" t="n">
        <v>1831.29160317985</v>
      </c>
      <c r="BP5" s="11" t="n">
        <v>1682.98476336921</v>
      </c>
      <c r="BQ5" s="11" t="n">
        <v>1595.41003694944</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362.898786020017</v>
      </c>
      <c r="AO6" s="11" t="n">
        <v>354.744506534511</v>
      </c>
      <c r="AP6" s="11" t="n">
        <v>348.072934463033</v>
      </c>
      <c r="AQ6" s="11" t="n">
        <v>340.09367986565</v>
      </c>
      <c r="AR6" s="11" t="n">
        <v>333.009438236142</v>
      </c>
      <c r="AS6" s="11" t="n">
        <v>326.156776221917</v>
      </c>
      <c r="AT6" s="11" t="n">
        <v>318.581297469546</v>
      </c>
      <c r="AU6" s="11" t="n">
        <v>312.619323417301</v>
      </c>
      <c r="AV6" s="11" t="n">
        <v>346.2916688189</v>
      </c>
      <c r="AW6" s="11" t="n">
        <v>341.670091188054</v>
      </c>
      <c r="AX6" s="11" t="n">
        <v>337.825374607186</v>
      </c>
      <c r="AY6" s="11" t="n">
        <v>330.845169796302</v>
      </c>
      <c r="AZ6" s="11" t="n">
        <v>326.352458958764</v>
      </c>
      <c r="BA6" s="11"/>
      <c r="BB6" s="11"/>
      <c r="BC6" s="11"/>
      <c r="BD6" s="11"/>
      <c r="BE6" s="11"/>
      <c r="BF6" s="11"/>
      <c r="BG6" s="11"/>
      <c r="BH6" s="11"/>
      <c r="BI6" s="11"/>
      <c r="BJ6" s="11"/>
      <c r="BK6" s="11"/>
      <c r="BL6" s="11"/>
      <c r="BM6" s="11"/>
      <c r="BN6" s="11" t="n">
        <v>1822.44827048293</v>
      </c>
      <c r="BO6" s="11" t="n">
        <v>1630.46051521056</v>
      </c>
      <c r="BP6" s="11" t="n">
        <v>1682.98476336921</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362.898786020017</v>
      </c>
      <c r="AO7" s="11" t="n">
        <v>354.744506534511</v>
      </c>
      <c r="AP7" s="11" t="n">
        <v>348.072934463033</v>
      </c>
      <c r="AQ7" s="11" t="n">
        <v>340.09367986565</v>
      </c>
      <c r="AR7" s="11" t="n">
        <v>333.009438236142</v>
      </c>
      <c r="AS7" s="11" t="n">
        <v>326.156776221917</v>
      </c>
      <c r="AT7" s="11" t="n">
        <v>318.581297469546</v>
      </c>
      <c r="AU7" s="11" t="n">
        <v>312.619323417301</v>
      </c>
      <c r="AV7" s="11"/>
      <c r="AW7" s="11"/>
      <c r="AX7" s="11"/>
      <c r="AY7" s="11"/>
      <c r="AZ7" s="11"/>
      <c r="BA7" s="11"/>
      <c r="BB7" s="11"/>
      <c r="BC7" s="11"/>
      <c r="BD7" s="11"/>
      <c r="BE7" s="11"/>
      <c r="BF7" s="11"/>
      <c r="BG7" s="11"/>
      <c r="BH7" s="11"/>
      <c r="BI7" s="11"/>
      <c r="BJ7" s="11"/>
      <c r="BK7" s="11"/>
      <c r="BL7" s="11"/>
      <c r="BM7" s="11"/>
      <c r="BN7" s="11" t="n">
        <v>1822.44827048293</v>
      </c>
      <c r="BO7" s="11" t="n">
        <v>1630.46051521056</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346.2916688189</v>
      </c>
      <c r="AW8" s="11" t="n">
        <v>341.670091188054</v>
      </c>
      <c r="AX8" s="11" t="n">
        <v>337.825374607186</v>
      </c>
      <c r="AY8" s="11" t="n">
        <v>330.845169796302</v>
      </c>
      <c r="AZ8" s="11" t="n">
        <v>326.352458958764</v>
      </c>
      <c r="BA8" s="11"/>
      <c r="BB8" s="11"/>
      <c r="BC8" s="11"/>
      <c r="BD8" s="11"/>
      <c r="BE8" s="11"/>
      <c r="BF8" s="11"/>
      <c r="BG8" s="11"/>
      <c r="BH8" s="11"/>
      <c r="BI8" s="11"/>
      <c r="BJ8" s="11"/>
      <c r="BK8" s="11"/>
      <c r="BL8" s="11"/>
      <c r="BM8" s="11"/>
      <c r="BN8" s="11"/>
      <c r="BO8" s="11"/>
      <c r="BP8" s="11" t="n">
        <v>1682.98476336921</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93.7043511201761</v>
      </c>
      <c r="AJ10" s="11" t="n">
        <v>98.2009567177289</v>
      </c>
      <c r="AK10" s="11" t="n">
        <v>83.4998821959421</v>
      </c>
      <c r="AL10" s="11" t="n">
        <v>78.4758175684127</v>
      </c>
      <c r="AM10" s="11" t="n">
        <v>81.0366508749843</v>
      </c>
      <c r="AN10" s="11" t="n">
        <v>83.8000419262737</v>
      </c>
      <c r="AO10" s="11" t="n">
        <v>83.3288804416851</v>
      </c>
      <c r="AP10" s="11" t="n">
        <v>82.9182078100062</v>
      </c>
      <c r="AQ10" s="11" t="n">
        <v>82.4061611990915</v>
      </c>
      <c r="AR10" s="11" t="n">
        <v>82.2638237888582</v>
      </c>
      <c r="AS10" s="11" t="n">
        <v>81.9055199994778</v>
      </c>
      <c r="AT10" s="11" t="n">
        <v>81.7071083315226</v>
      </c>
      <c r="AU10" s="11" t="n">
        <v>81.5113247868595</v>
      </c>
      <c r="AV10" s="11" t="n">
        <v>81.3865816967727</v>
      </c>
      <c r="AW10" s="11" t="n">
        <v>81.2912401032626</v>
      </c>
      <c r="AX10" s="11" t="n">
        <v>81.2504222950031</v>
      </c>
      <c r="AY10" s="11" t="n">
        <v>81.6046480662141</v>
      </c>
      <c r="AZ10" s="11" t="n">
        <v>81.6468234350917</v>
      </c>
      <c r="BA10" s="11" t="n">
        <v>81.8096262105685</v>
      </c>
      <c r="BB10" s="11" t="n">
        <v>81.9894345561802</v>
      </c>
      <c r="BC10" s="11" t="n">
        <v>82.2193313170755</v>
      </c>
      <c r="BD10" s="11" t="n">
        <v>82.5461255865975</v>
      </c>
      <c r="BE10" s="11" t="n">
        <v>82.7275033753771</v>
      </c>
      <c r="BF10" s="11" t="n">
        <v>82.8507062559367</v>
      </c>
      <c r="BG10" s="11" t="n">
        <v>83.1768797458118</v>
      </c>
      <c r="BH10" s="11" t="n">
        <v>83.1696950517379</v>
      </c>
      <c r="BI10" s="11" t="n">
        <v>83.2640438946769</v>
      </c>
      <c r="BJ10" s="11" t="n">
        <v>83.5002487553758</v>
      </c>
      <c r="BK10" s="11" t="n">
        <v>83.5498419376287</v>
      </c>
      <c r="BL10" s="11" t="n">
        <v>83.5151540573185</v>
      </c>
      <c r="BM10" s="11" t="n">
        <v>83.4742429812945</v>
      </c>
      <c r="BN10" s="11" t="n">
        <v>409.559598621362</v>
      </c>
      <c r="BO10" s="11" t="n">
        <v>409.79393810581</v>
      </c>
      <c r="BP10" s="11" t="n">
        <v>407.179715596344</v>
      </c>
      <c r="BQ10" s="11" t="n">
        <v>411.292021045799</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116.458628200537</v>
      </c>
      <c r="AO11" s="11" t="n">
        <v>113.544182466272</v>
      </c>
      <c r="AP11" s="11" t="n">
        <v>110.412937076866</v>
      </c>
      <c r="AQ11" s="11" t="n">
        <v>105.926351694108</v>
      </c>
      <c r="AR11" s="11" t="n">
        <v>100.590043222269</v>
      </c>
      <c r="AS11" s="11" t="n">
        <v>94.2568305529225</v>
      </c>
      <c r="AT11" s="11" t="n">
        <v>88.4485819774237</v>
      </c>
      <c r="AU11" s="11" t="n">
        <v>83.0705062637056</v>
      </c>
      <c r="AV11" s="11" t="n">
        <v>78.4102887522371</v>
      </c>
      <c r="AW11" s="11" t="n">
        <v>74.2453866747261</v>
      </c>
      <c r="AX11" s="11" t="n">
        <v>70.5981532470622</v>
      </c>
      <c r="AY11" s="11" t="n">
        <v>67.2900920432248</v>
      </c>
      <c r="AZ11" s="11" t="n">
        <v>64.3221574320185</v>
      </c>
      <c r="BA11" s="11" t="n">
        <v>61.7067163815236</v>
      </c>
      <c r="BB11" s="11" t="n">
        <v>59.4835168651439</v>
      </c>
      <c r="BC11" s="11" t="n">
        <v>57.4665157468797</v>
      </c>
      <c r="BD11" s="11" t="n">
        <v>55.7825506315656</v>
      </c>
      <c r="BE11" s="11" t="n">
        <v>54.300221841136</v>
      </c>
      <c r="BF11" s="11" t="n">
        <v>53.1229330756474</v>
      </c>
      <c r="BG11" s="11" t="n">
        <v>52.0901727737506</v>
      </c>
      <c r="BH11" s="11" t="n">
        <v>51.2129966864868</v>
      </c>
      <c r="BI11" s="11" t="n">
        <v>50.5308164407975</v>
      </c>
      <c r="BJ11" s="11" t="n">
        <v>49.9372672852804</v>
      </c>
      <c r="BK11" s="11" t="n">
        <v>49.5769177948906</v>
      </c>
      <c r="BL11" s="11" t="n">
        <v>49.2181056199541</v>
      </c>
      <c r="BM11" s="11" t="n">
        <v>48.9305634638277</v>
      </c>
      <c r="BN11" s="11" t="n">
        <v>564.699810334777</v>
      </c>
      <c r="BO11" s="11" t="n">
        <v>472.292313710429</v>
      </c>
      <c r="BP11" s="11" t="n">
        <v>354.866078149269</v>
      </c>
      <c r="BQ11" s="11" t="n">
        <v>288.739521466249</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38.722355501135</v>
      </c>
      <c r="AN12" s="11" t="n">
        <v>26.8185269549843</v>
      </c>
      <c r="AO12" s="11" t="n">
        <v>24.4166625419206</v>
      </c>
      <c r="AP12" s="11" t="n">
        <v>21.8110340014993</v>
      </c>
      <c r="AQ12" s="11" t="n">
        <v>20.9837961443094</v>
      </c>
      <c r="AR12" s="11" t="n">
        <v>21.2240173702778</v>
      </c>
      <c r="AS12" s="11" t="n">
        <v>23.1706520000117</v>
      </c>
      <c r="AT12" s="11" t="n">
        <v>23.6675532761547</v>
      </c>
      <c r="AU12" s="11" t="n">
        <v>24.5768593124654</v>
      </c>
      <c r="AV12" s="11" t="n">
        <v>25.8210380134921</v>
      </c>
      <c r="AW12" s="11" t="n">
        <v>27.0162822483984</v>
      </c>
      <c r="AX12" s="11" t="n">
        <v>27.9273428434875</v>
      </c>
      <c r="AY12" s="11" t="n">
        <v>26.8908355607994</v>
      </c>
      <c r="AZ12" s="11" t="n">
        <v>26.7432356066208</v>
      </c>
      <c r="BA12" s="11" t="n">
        <v>26.8000132260982</v>
      </c>
      <c r="BB12" s="11" t="n">
        <v>26.9710263451304</v>
      </c>
      <c r="BC12" s="11" t="n">
        <v>27.304640043372</v>
      </c>
      <c r="BD12" s="11" t="n">
        <v>28.2943051933904</v>
      </c>
      <c r="BE12" s="11" t="n">
        <v>29.649059602331</v>
      </c>
      <c r="BF12" s="11" t="n">
        <v>30.6751917749927</v>
      </c>
      <c r="BG12" s="11" t="n">
        <v>31.7241822420633</v>
      </c>
      <c r="BH12" s="11" t="n">
        <v>32.0705638436799</v>
      </c>
      <c r="BI12" s="11" t="n">
        <v>33.0671246580818</v>
      </c>
      <c r="BJ12" s="11" t="n">
        <v>34.0040651459499</v>
      </c>
      <c r="BK12" s="11" t="n">
        <v>35.8853352054754</v>
      </c>
      <c r="BL12" s="11" t="n">
        <v>36.6669204630004</v>
      </c>
      <c r="BM12" s="11" t="n">
        <v>36.0862692634729</v>
      </c>
      <c r="BN12" s="11" t="n">
        <v>155.702075768681</v>
      </c>
      <c r="BO12" s="11" t="n">
        <v>113.622878103219</v>
      </c>
      <c r="BP12" s="11" t="n">
        <v>134.398734272798</v>
      </c>
      <c r="BQ12" s="11" t="n">
        <v>139.019044410322</v>
      </c>
    </row>
    <row r="13" customFormat="false" ht="13.8" hidden="false" customHeight="false" outlineLevel="0" collapsed="false">
      <c r="A13" s="11" t="s">
        <v>137</v>
      </c>
      <c r="B13" s="11" t="s">
        <v>148</v>
      </c>
      <c r="C13" s="11" t="s">
        <v>139</v>
      </c>
      <c r="D13" s="12"/>
      <c r="E13" s="11" t="n">
        <v>77.1921705075374</v>
      </c>
      <c r="F13" s="11" t="n">
        <v>78.080806528045</v>
      </c>
      <c r="G13" s="11" t="n">
        <v>79.240786095642</v>
      </c>
      <c r="H13" s="11" t="n">
        <v>78.9274931034911</v>
      </c>
      <c r="I13" s="11" t="n">
        <v>71.4488522684982</v>
      </c>
      <c r="J13" s="11" t="n">
        <v>74.8462179844523</v>
      </c>
      <c r="K13" s="11" t="n">
        <v>74.6165741832361</v>
      </c>
      <c r="L13" s="11" t="n">
        <v>72.7018598920015</v>
      </c>
      <c r="M13" s="11" t="n">
        <v>71.0438362400115</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30.2573713183712</v>
      </c>
      <c r="AO13" s="11" t="n">
        <v>29.1761093510859</v>
      </c>
      <c r="AP13" s="11" t="n">
        <v>28.4283713343754</v>
      </c>
      <c r="AQ13" s="11" t="n">
        <v>27.4536181895323</v>
      </c>
      <c r="AR13" s="11" t="n">
        <v>26.5113946322091</v>
      </c>
      <c r="AS13" s="11" t="n">
        <v>25.1360326502374</v>
      </c>
      <c r="AT13" s="11" t="n">
        <v>23.7359160206491</v>
      </c>
      <c r="AU13" s="11" t="n">
        <v>22.8776769152348</v>
      </c>
      <c r="AV13" s="11" t="n">
        <v>21.7781076533223</v>
      </c>
      <c r="AW13" s="11" t="n">
        <v>21.3346243380159</v>
      </c>
      <c r="AX13" s="11" t="n">
        <v>20.8957808862269</v>
      </c>
      <c r="AY13" s="11" t="n">
        <v>18.8898683985822</v>
      </c>
      <c r="AZ13" s="11" t="n">
        <v>18.3727142321263</v>
      </c>
      <c r="BA13" s="11" t="n">
        <v>17.8333210368384</v>
      </c>
      <c r="BB13" s="11" t="n">
        <v>17.0334964122789</v>
      </c>
      <c r="BC13" s="11" t="n">
        <v>16.6785344492025</v>
      </c>
      <c r="BD13" s="11" t="n">
        <v>15.3944667198807</v>
      </c>
      <c r="BE13" s="11" t="n">
        <v>14.5801286971505</v>
      </c>
      <c r="BF13" s="11" t="n">
        <v>14.2585541088839</v>
      </c>
      <c r="BG13" s="11" t="n">
        <v>14.1830779363924</v>
      </c>
      <c r="BH13" s="11" t="n">
        <v>14.097981937307</v>
      </c>
      <c r="BI13" s="11" t="n">
        <v>14.0427711217904</v>
      </c>
      <c r="BJ13" s="11" t="n">
        <v>13.9642414092754</v>
      </c>
      <c r="BK13" s="11" t="n">
        <v>13.6728916020092</v>
      </c>
      <c r="BL13" s="11" t="n">
        <v>13.2631864818005</v>
      </c>
      <c r="BM13" s="11" t="n">
        <v>13.0792047940589</v>
      </c>
      <c r="BN13" s="11" t="n">
        <v>148.837063724515</v>
      </c>
      <c r="BO13" s="11" t="n">
        <v>125.714638407863</v>
      </c>
      <c r="BP13" s="11" t="n">
        <v>101.271095508274</v>
      </c>
      <c r="BQ13" s="11" t="n">
        <v>81.519947315351</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42.6138672306617</v>
      </c>
      <c r="AO14" s="11" t="n">
        <v>42.0380676233539</v>
      </c>
      <c r="AP14" s="11" t="n">
        <v>41.8007729157292</v>
      </c>
      <c r="AQ14" s="11" t="n">
        <v>40.7976454153709</v>
      </c>
      <c r="AR14" s="11" t="n">
        <v>40.9829948214137</v>
      </c>
      <c r="AS14" s="11" t="n">
        <v>39.9141982727358</v>
      </c>
      <c r="AT14" s="11" t="n">
        <v>39.7757368260737</v>
      </c>
      <c r="AU14" s="11" t="n">
        <v>39.3605126337015</v>
      </c>
      <c r="AV14" s="11" t="n">
        <v>38.6084119664369</v>
      </c>
      <c r="AW14" s="11" t="n">
        <v>38.0352799014719</v>
      </c>
      <c r="AX14" s="11" t="n">
        <v>37.7691062702715</v>
      </c>
      <c r="AY14" s="11" t="n">
        <v>37.111159029794</v>
      </c>
      <c r="AZ14" s="11" t="n">
        <v>36.2964246687939</v>
      </c>
      <c r="BA14" s="11" t="n">
        <v>36.05899897391</v>
      </c>
      <c r="BB14" s="11" t="n">
        <v>36.0166953823249</v>
      </c>
      <c r="BC14" s="11" t="n">
        <v>35.6715605500502</v>
      </c>
      <c r="BD14" s="11" t="n">
        <v>36.0800805153695</v>
      </c>
      <c r="BE14" s="11" t="n">
        <v>36.5385194393307</v>
      </c>
      <c r="BF14" s="11" t="n">
        <v>36.4056780198845</v>
      </c>
      <c r="BG14" s="11" t="n">
        <v>36.0505969132246</v>
      </c>
      <c r="BH14" s="11" t="n">
        <v>35.5424189335256</v>
      </c>
      <c r="BI14" s="11" t="n">
        <v>35.009331184326</v>
      </c>
      <c r="BJ14" s="11" t="n">
        <v>34.2649456851799</v>
      </c>
      <c r="BK14" s="11" t="n">
        <v>34.3932342203921</v>
      </c>
      <c r="BL14" s="11" t="n">
        <v>33.2560713995856</v>
      </c>
      <c r="BM14" s="11" t="n">
        <v>32.6656975147085</v>
      </c>
      <c r="BN14" s="11" t="n">
        <v>208.258639773128</v>
      </c>
      <c r="BO14" s="11" t="n">
        <v>200.831087969296</v>
      </c>
      <c r="BP14" s="11" t="n">
        <v>187.820381836768</v>
      </c>
      <c r="BQ14" s="11" t="n">
        <v>180.365854860985</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43.264905241902</v>
      </c>
      <c r="AN15" s="11" t="n">
        <v>40.8822128688305</v>
      </c>
      <c r="AO15" s="11" t="n">
        <v>40.1007706555586</v>
      </c>
      <c r="AP15" s="11" t="n">
        <v>39.9882736605998</v>
      </c>
      <c r="AQ15" s="11" t="n">
        <v>39.855029644714</v>
      </c>
      <c r="AR15" s="11" t="n">
        <v>39.7355118978422</v>
      </c>
      <c r="AS15" s="11" t="n">
        <v>39.7666901136591</v>
      </c>
      <c r="AT15" s="11" t="n">
        <v>39.7257567726701</v>
      </c>
      <c r="AU15" s="11" t="n">
        <v>39.8572490281938</v>
      </c>
      <c r="AV15" s="11" t="n">
        <v>40.0253803239354</v>
      </c>
      <c r="AW15" s="11" t="n">
        <v>39.8735985758762</v>
      </c>
      <c r="AX15" s="11" t="n">
        <v>39.8428984364726</v>
      </c>
      <c r="AY15" s="11" t="n">
        <v>39.8484318489677</v>
      </c>
      <c r="AZ15" s="11" t="n">
        <v>40.1000731602882</v>
      </c>
      <c r="BA15" s="11" t="n">
        <v>40.2271414576454</v>
      </c>
      <c r="BB15" s="11" t="n">
        <v>40.369470635651</v>
      </c>
      <c r="BC15" s="11" t="n">
        <v>40.952453482784</v>
      </c>
      <c r="BD15" s="11" t="n">
        <v>41.7515747325873</v>
      </c>
      <c r="BE15" s="11" t="n">
        <v>42.0090722494853</v>
      </c>
      <c r="BF15" s="11" t="n">
        <v>42.3473321158474</v>
      </c>
      <c r="BG15" s="11" t="n">
        <v>42.5795448528133</v>
      </c>
      <c r="BH15" s="11" t="n">
        <v>42.9839121047505</v>
      </c>
      <c r="BI15" s="11" t="n">
        <v>43.4575751289501</v>
      </c>
      <c r="BJ15" s="11" t="n">
        <v>43.8755972692286</v>
      </c>
      <c r="BK15" s="11" t="n">
        <v>44.2813084829353</v>
      </c>
      <c r="BL15" s="11" t="n">
        <v>44.7118381978581</v>
      </c>
      <c r="BM15" s="11" t="n">
        <v>45.1110993060495</v>
      </c>
      <c r="BN15" s="11" t="n">
        <v>217.287243068375</v>
      </c>
      <c r="BO15" s="11" t="n">
        <v>198.940237457079</v>
      </c>
      <c r="BP15" s="11" t="n">
        <v>199.69038234554</v>
      </c>
      <c r="BQ15" s="11" t="n">
        <v>205.309712558153</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7.29888881565863</v>
      </c>
      <c r="L16" s="11" t="n">
        <v>6.74965008724044</v>
      </c>
      <c r="M16" s="11" t="n">
        <v>5.96165299469253</v>
      </c>
      <c r="N16" s="11" t="n">
        <v>6.07622611866308</v>
      </c>
      <c r="O16" s="11" t="n">
        <v>5.8165000617974</v>
      </c>
      <c r="P16" s="11" t="n">
        <v>5.17351914195232</v>
      </c>
      <c r="Q16" s="11" t="n">
        <v>4.3457864800215</v>
      </c>
      <c r="R16" s="11" t="n">
        <v>4.18559867581597</v>
      </c>
      <c r="S16" s="11" t="n">
        <v>3.32599036920681</v>
      </c>
      <c r="T16" s="11" t="n">
        <v>2.9562338693275</v>
      </c>
      <c r="U16" s="11" t="n">
        <v>2.53705519258907</v>
      </c>
      <c r="V16" s="11" t="n">
        <v>1.91003713291075</v>
      </c>
      <c r="W16" s="11" t="n">
        <v>1.22774903416888</v>
      </c>
      <c r="X16" s="11" t="n">
        <v>1.13558384043056</v>
      </c>
      <c r="Y16" s="11" t="n">
        <v>1.05006812917393</v>
      </c>
      <c r="Z16" s="11" t="n">
        <v>0.403891460082564</v>
      </c>
      <c r="AA16" s="11" t="n">
        <v>0.505346373580899</v>
      </c>
      <c r="AB16" s="11" t="n">
        <v>0.398968456201681</v>
      </c>
      <c r="AC16" s="11" t="n">
        <v>0.0720308545919073</v>
      </c>
      <c r="AD16" s="11" t="n">
        <v>-0.0617161466723142</v>
      </c>
      <c r="AE16" s="11" t="n">
        <v>0.295045210907603</v>
      </c>
      <c r="AF16" s="11" t="n">
        <v>0.0212098248235195</v>
      </c>
      <c r="AG16" s="11" t="n">
        <v>0.684754591408554</v>
      </c>
      <c r="AH16" s="11" t="n">
        <v>0.551649018647838</v>
      </c>
      <c r="AI16" s="11" t="n">
        <v>0.401275637288966</v>
      </c>
      <c r="AJ16" s="11" t="n">
        <v>0.235021339974388</v>
      </c>
      <c r="AK16" s="11" t="n">
        <v>0.541752124764709</v>
      </c>
      <c r="AL16" s="11" t="n">
        <v>1.11971398879782</v>
      </c>
      <c r="AM16" s="11" t="n">
        <v>0.772473937745446</v>
      </c>
      <c r="AN16" s="11" t="n">
        <v>0.85338772111931</v>
      </c>
      <c r="AO16" s="11" t="n">
        <v>0.941803891439629</v>
      </c>
      <c r="AP16" s="11" t="n">
        <v>1.05249354242531</v>
      </c>
      <c r="AQ16" s="11" t="n">
        <v>1.03922145167634</v>
      </c>
      <c r="AR16" s="11" t="n">
        <v>1.18494290131125</v>
      </c>
      <c r="AS16" s="11" t="n">
        <v>1.33687784699157</v>
      </c>
      <c r="AT16" s="11" t="n">
        <v>1.59385231293396</v>
      </c>
      <c r="AU16" s="11" t="n">
        <v>1.8600063221481</v>
      </c>
      <c r="AV16" s="11" t="n">
        <v>2.18002045240814</v>
      </c>
      <c r="AW16" s="11" t="n">
        <v>2.52245540334349</v>
      </c>
      <c r="AX16" s="11" t="n">
        <v>2.86269668185091</v>
      </c>
      <c r="AY16" s="11" t="n">
        <v>3.1910595289671</v>
      </c>
      <c r="AZ16" s="11" t="n">
        <v>3.48110002502241</v>
      </c>
      <c r="BA16" s="11" t="n">
        <v>3.70278702304934</v>
      </c>
      <c r="BB16" s="11" t="n">
        <v>3.92197933803403</v>
      </c>
      <c r="BC16" s="11" t="n">
        <v>4.10534913163693</v>
      </c>
      <c r="BD16" s="11" t="n">
        <v>4.29487024454034</v>
      </c>
      <c r="BE16" s="11" t="n">
        <v>4.41276908506391</v>
      </c>
      <c r="BF16" s="11" t="n">
        <v>4.48241621455591</v>
      </c>
      <c r="BG16" s="11" t="n">
        <v>4.51963787513381</v>
      </c>
      <c r="BH16" s="11" t="n">
        <v>4.51963829708352</v>
      </c>
      <c r="BI16" s="11" t="n">
        <v>4.54417530675067</v>
      </c>
      <c r="BJ16" s="11" t="n">
        <v>4.5413256061281</v>
      </c>
      <c r="BK16" s="11" t="n">
        <v>4.4904485985796</v>
      </c>
      <c r="BL16" s="11" t="n">
        <v>4.432307529618</v>
      </c>
      <c r="BM16" s="11" t="n">
        <v>4.35862189668962</v>
      </c>
      <c r="BN16" s="11" t="n">
        <v>4.73987308152751</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70.2851382107242</v>
      </c>
      <c r="F17" s="11" t="n">
        <v>71.151851599193</v>
      </c>
      <c r="G17" s="11" t="n">
        <v>71.3100141105853</v>
      </c>
      <c r="H17" s="11" t="n">
        <v>71.9864210312014</v>
      </c>
      <c r="I17" s="11" t="n">
        <v>72.4678954520795</v>
      </c>
      <c r="J17" s="11" t="n">
        <v>73.1884732530741</v>
      </c>
      <c r="K17" s="11" t="n">
        <v>73.837094103762</v>
      </c>
      <c r="L17" s="11" t="n">
        <v>73.4280783971221</v>
      </c>
      <c r="M17" s="11" t="n">
        <v>73.0234035710687</v>
      </c>
      <c r="N17" s="11" t="n">
        <v>70.5019423640304</v>
      </c>
      <c r="O17" s="11" t="n">
        <v>67.7097679254949</v>
      </c>
      <c r="P17" s="11" t="n">
        <v>65.3994841446134</v>
      </c>
      <c r="Q17" s="11" t="n">
        <v>64.9403304902157</v>
      </c>
      <c r="R17" s="11" t="n">
        <v>61.4927753474448</v>
      </c>
      <c r="S17" s="11" t="n">
        <v>56.830230673088</v>
      </c>
      <c r="T17" s="11" t="n">
        <v>54.5724508834385</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23.2815089852245</v>
      </c>
      <c r="AG17" s="11" t="n">
        <v>23.1253245940442</v>
      </c>
      <c r="AH17" s="11" t="n">
        <v>22.6426622638462</v>
      </c>
      <c r="AI17" s="11" t="n">
        <v>21.1336177423037</v>
      </c>
      <c r="AJ17" s="11" t="n">
        <v>20.070118805901</v>
      </c>
      <c r="AK17" s="11" t="n">
        <v>19.9737418305989</v>
      </c>
      <c r="AL17" s="11" t="n">
        <v>19.8666312812048</v>
      </c>
      <c r="AM17" s="11" t="n">
        <v>19.0389138671954</v>
      </c>
      <c r="AN17" s="11" t="n">
        <v>18.6720516619882</v>
      </c>
      <c r="AO17" s="11" t="n">
        <v>18.2554886202007</v>
      </c>
      <c r="AP17" s="11" t="n">
        <v>18.567895163075</v>
      </c>
      <c r="AQ17" s="11" t="n">
        <v>17.5966501636035</v>
      </c>
      <c r="AR17" s="11" t="n">
        <v>16.7425537234689</v>
      </c>
      <c r="AS17" s="11" t="n">
        <v>15.9382259401972</v>
      </c>
      <c r="AT17" s="11" t="n">
        <v>15.2275184180952</v>
      </c>
      <c r="AU17" s="11" t="n">
        <v>14.6004148871288</v>
      </c>
      <c r="AV17" s="11" t="n">
        <v>14.048664442749</v>
      </c>
      <c r="AW17" s="11" t="n">
        <v>13.5668920883837</v>
      </c>
      <c r="AX17" s="11" t="n">
        <v>13.1473344474649</v>
      </c>
      <c r="AY17" s="11" t="n">
        <v>12.7820473750998</v>
      </c>
      <c r="AZ17" s="11" t="n">
        <v>12.4632483975166</v>
      </c>
      <c r="BA17" s="11" t="n">
        <v>12.1868367778312</v>
      </c>
      <c r="BB17" s="11" t="n">
        <v>11.9490548829467</v>
      </c>
      <c r="BC17" s="11" t="n">
        <v>11.7468389629804</v>
      </c>
      <c r="BD17" s="11" t="n">
        <v>11.6333884809098</v>
      </c>
      <c r="BE17" s="11" t="n">
        <v>11.5494610935101</v>
      </c>
      <c r="BF17" s="11" t="n">
        <v>11.4926011563282</v>
      </c>
      <c r="BG17" s="11" t="n">
        <v>11.460575465964</v>
      </c>
      <c r="BH17" s="11" t="n">
        <v>11.4521137642813</v>
      </c>
      <c r="BI17" s="11" t="n">
        <v>11.4639103903603</v>
      </c>
      <c r="BJ17" s="11" t="n">
        <v>11.4941094018036</v>
      </c>
      <c r="BK17" s="11" t="n">
        <v>11.5411882308021</v>
      </c>
      <c r="BL17" s="11" t="n">
        <v>11.6039467491324</v>
      </c>
      <c r="BM17" s="11" t="n">
        <v>11.6812776690764</v>
      </c>
      <c r="BN17" s="11" t="n">
        <v>94.4009805936641</v>
      </c>
      <c r="BO17" s="11" t="n">
        <v>80.1053631324936</v>
      </c>
      <c r="BP17" s="11" t="n">
        <v>66.0081867512141</v>
      </c>
      <c r="BQ17" s="11" t="n">
        <v>59.0655801981782</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291.257867282488</v>
      </c>
      <c r="AN18" s="11" t="n">
        <v>283.601084583897</v>
      </c>
      <c r="AO18" s="11" t="n">
        <v>276.468909201055</v>
      </c>
      <c r="AP18" s="11" t="n">
        <v>270.015895750421</v>
      </c>
      <c r="AQ18" s="11" t="n">
        <v>263.671808085502</v>
      </c>
      <c r="AR18" s="11" t="n">
        <v>257.885485806289</v>
      </c>
      <c r="AS18" s="11" t="n">
        <v>252.350447214176</v>
      </c>
      <c r="AT18" s="11" t="n">
        <v>246.004453018249</v>
      </c>
      <c r="AU18" s="11" t="n">
        <v>241.318642780933</v>
      </c>
      <c r="AV18" s="11" t="n">
        <v>237.496243485082</v>
      </c>
      <c r="AW18" s="11" t="n">
        <v>234.4176202275</v>
      </c>
      <c r="AX18" s="11" t="n">
        <v>231.816771077714</v>
      </c>
      <c r="AY18" s="11" t="n">
        <v>226.451329883519</v>
      </c>
      <c r="AZ18" s="11" t="n">
        <v>223.749528810268</v>
      </c>
      <c r="BA18" s="11" t="n">
        <v>221.293081577925</v>
      </c>
      <c r="BB18" s="11" t="n">
        <v>219.08820134315</v>
      </c>
      <c r="BC18" s="11" t="n">
        <v>218.116361275401</v>
      </c>
      <c r="BD18" s="11" t="n">
        <v>217.619911271774</v>
      </c>
      <c r="BE18" s="11" t="n">
        <v>217.342959977253</v>
      </c>
      <c r="BF18" s="11" t="n">
        <v>217.406385320379</v>
      </c>
      <c r="BG18" s="11" t="n">
        <v>217.947147102842</v>
      </c>
      <c r="BH18" s="11" t="n">
        <v>217.722021998757</v>
      </c>
      <c r="BI18" s="11" t="n">
        <v>218.56167863007</v>
      </c>
      <c r="BJ18" s="11" t="n">
        <v>219.477112784357</v>
      </c>
      <c r="BK18" s="11" t="n">
        <v>221.10423592513</v>
      </c>
      <c r="BL18" s="11" t="n">
        <v>221.437915186849</v>
      </c>
      <c r="BM18" s="11" t="n">
        <v>220.645678041158</v>
      </c>
      <c r="BN18" s="11" t="n">
        <v>1424.16250281695</v>
      </c>
      <c r="BO18" s="11" t="n">
        <v>1261.23083690515</v>
      </c>
      <c r="BP18" s="11" t="n">
        <v>1153.93149348408</v>
      </c>
      <c r="BQ18" s="11" t="n">
        <v>1093.4605154455</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111.847053547748</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66.6756343230592</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v>
      </c>
      <c r="AM19" s="11" t="n">
        <v>55.5125083077318</v>
      </c>
      <c r="AN19" s="11" t="n">
        <v>54.6807446667514</v>
      </c>
      <c r="AO19" s="11" t="n">
        <v>54.0033124334988</v>
      </c>
      <c r="AP19" s="11" t="n">
        <v>54.135997338184</v>
      </c>
      <c r="AQ19" s="11" t="n">
        <v>52.9228243187932</v>
      </c>
      <c r="AR19" s="11" t="n">
        <v>51.9219745581929</v>
      </c>
      <c r="AS19" s="11" t="n">
        <v>50.9048064437813</v>
      </c>
      <c r="AT19" s="11" t="n">
        <v>49.9619238505877</v>
      </c>
      <c r="AU19" s="11" t="n">
        <v>49.0252174385219</v>
      </c>
      <c r="AV19" s="11" t="n">
        <v>48.1735977128461</v>
      </c>
      <c r="AW19" s="11" t="n">
        <v>47.4384656426524</v>
      </c>
      <c r="AX19" s="11" t="n">
        <v>46.7128341930711</v>
      </c>
      <c r="AY19" s="11" t="n">
        <v>45.9923431006805</v>
      </c>
      <c r="AZ19" s="11" t="n">
        <v>45.304869002742</v>
      </c>
      <c r="BA19" s="11" t="n">
        <v>44.7210344907304</v>
      </c>
      <c r="BB19" s="11" t="n">
        <v>44.1547405324991</v>
      </c>
      <c r="BC19" s="11" t="n">
        <v>43.6316292240476</v>
      </c>
      <c r="BD19" s="11" t="n">
        <v>43.115853524263</v>
      </c>
      <c r="BE19" s="11" t="n">
        <v>42.6402334691416</v>
      </c>
      <c r="BF19" s="11" t="n">
        <v>42.2322214790112</v>
      </c>
      <c r="BG19" s="11" t="n">
        <v>41.8453636377258</v>
      </c>
      <c r="BH19" s="11" t="n">
        <v>41.4748138962587</v>
      </c>
      <c r="BI19" s="11" t="n">
        <v>41.1212819157978</v>
      </c>
      <c r="BJ19" s="11" t="n">
        <v>40.7788842832678</v>
      </c>
      <c r="BK19" s="11" t="n">
        <v>40.4575602745164</v>
      </c>
      <c r="BL19" s="11" t="n">
        <v>40.1607365112567</v>
      </c>
      <c r="BM19" s="11" t="n">
        <v>39.8845285186323</v>
      </c>
      <c r="BN19" s="11" t="n">
        <v>275.348020716834</v>
      </c>
      <c r="BO19" s="11" t="n">
        <v>254.736746609877</v>
      </c>
      <c r="BP19" s="11" t="n">
        <v>233.622109651992</v>
      </c>
      <c r="BQ19" s="11" t="n">
        <v>218.263491240682</v>
      </c>
    </row>
    <row r="20" customFormat="false" ht="13.8" hidden="false" customHeight="false" outlineLevel="0" collapsed="false">
      <c r="A20" s="11" t="s">
        <v>155</v>
      </c>
      <c r="B20" s="11" t="s">
        <v>138</v>
      </c>
      <c r="C20" s="11" t="s">
        <v>139</v>
      </c>
      <c r="D20" s="12"/>
      <c r="E20" s="11" t="n">
        <v>44.0704550397255</v>
      </c>
      <c r="F20" s="11" t="n">
        <v>44.1797412823124</v>
      </c>
      <c r="G20" s="11" t="n">
        <v>39.6961971076383</v>
      </c>
      <c r="H20" s="11" t="n">
        <v>35.8885563050247</v>
      </c>
      <c r="I20" s="11" t="n">
        <v>36.4843849417418</v>
      </c>
      <c r="J20" s="11" t="n">
        <v>35.2609430810058</v>
      </c>
      <c r="K20" s="11" t="n">
        <v>35.2373807644579</v>
      </c>
      <c r="L20" s="11" t="n">
        <v>35.4827508380865</v>
      </c>
      <c r="M20" s="11" t="n">
        <v>35.5123899483833</v>
      </c>
      <c r="N20" s="11" t="n">
        <v>26.9725209280125</v>
      </c>
      <c r="O20" s="11" t="n">
        <v>26.4401263932034</v>
      </c>
      <c r="P20" s="11" t="n">
        <v>25.1975850754958</v>
      </c>
      <c r="Q20" s="11" t="n">
        <v>23.6909797075244</v>
      </c>
      <c r="R20" s="11" t="n">
        <v>23.3321043111328</v>
      </c>
      <c r="S20" s="11" t="n">
        <v>23.8193639895213</v>
      </c>
      <c r="T20" s="11" t="n">
        <v>22.8993495466567</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20.1970291565975</v>
      </c>
      <c r="AD20" s="11" t="n">
        <v>20.0764785825238</v>
      </c>
      <c r="AE20" s="11" t="n">
        <v>19.6185628297959</v>
      </c>
      <c r="AF20" s="11" t="n">
        <v>19.8843934118169</v>
      </c>
      <c r="AG20" s="11" t="n">
        <v>19.761921421575</v>
      </c>
      <c r="AH20" s="11" t="n">
        <v>19.8144066150671</v>
      </c>
      <c r="AI20" s="11" t="n">
        <v>18.779891993834</v>
      </c>
      <c r="AJ20" s="11" t="n">
        <v>19.1537538803101</v>
      </c>
      <c r="AK20" s="11" t="n">
        <v>18.2676513371754</v>
      </c>
      <c r="AL20" s="11" t="n">
        <v>18.0936851388269</v>
      </c>
      <c r="AM20" s="11" t="n">
        <v>18.376947460324</v>
      </c>
      <c r="AN20" s="11" t="n">
        <v>18.3549719547027</v>
      </c>
      <c r="AO20" s="11" t="n">
        <v>18.3377362019141</v>
      </c>
      <c r="AP20" s="11" t="n">
        <v>18.2957529958301</v>
      </c>
      <c r="AQ20" s="11" t="n">
        <v>18.1721975652791</v>
      </c>
      <c r="AR20" s="11" t="n">
        <v>18.1461452428535</v>
      </c>
      <c r="AS20" s="11" t="n">
        <v>18.0795783161602</v>
      </c>
      <c r="AT20" s="11" t="n">
        <v>18.0012547614552</v>
      </c>
      <c r="AU20" s="11" t="n">
        <v>17.8619621788018</v>
      </c>
      <c r="AV20" s="11" t="n">
        <v>17.7755141442649</v>
      </c>
      <c r="AW20" s="11" t="n">
        <v>17.7036233939716</v>
      </c>
      <c r="AX20" s="11" t="n">
        <v>17.5991405551265</v>
      </c>
      <c r="AY20" s="11" t="n">
        <v>17.497009130231</v>
      </c>
      <c r="AZ20" s="11" t="n">
        <v>17.3144177191857</v>
      </c>
      <c r="BA20" s="11" t="n">
        <v>17.2420133018575</v>
      </c>
      <c r="BB20" s="11" t="n">
        <v>17.1602331404718</v>
      </c>
      <c r="BC20" s="11" t="n">
        <v>17.0866752098278</v>
      </c>
      <c r="BD20" s="11" t="n">
        <v>17.0064153763584</v>
      </c>
      <c r="BE20" s="11" t="n">
        <v>16.9323579474657</v>
      </c>
      <c r="BF20" s="11" t="n">
        <v>16.8758847745831</v>
      </c>
      <c r="BG20" s="11" t="n">
        <v>16.8236038159212</v>
      </c>
      <c r="BH20" s="11" t="n">
        <v>16.7708292389597</v>
      </c>
      <c r="BI20" s="11" t="n">
        <v>16.7232734763867</v>
      </c>
      <c r="BJ20" s="11" t="n">
        <v>16.6745650523903</v>
      </c>
      <c r="BK20" s="11" t="n">
        <v>16.6231451779513</v>
      </c>
      <c r="BL20" s="11" t="n">
        <v>16.5745535254378</v>
      </c>
      <c r="BM20" s="11" t="n">
        <v>16.5268021838188</v>
      </c>
      <c r="BN20" s="11" t="n">
        <v>91.4590937515978</v>
      </c>
      <c r="BO20" s="11" t="n">
        <v>90.2611380645498</v>
      </c>
      <c r="BP20" s="11" t="n">
        <v>87.8897049427798</v>
      </c>
      <c r="BQ20" s="11" t="n">
        <v>85.4276949759813</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10.4979550302191</v>
      </c>
      <c r="Z21" s="11" t="n">
        <v>11.0654107151362</v>
      </c>
      <c r="AA21" s="11" t="n">
        <v>11.5161328830887</v>
      </c>
      <c r="AB21" s="11" t="n">
        <v>11.6114703501195</v>
      </c>
      <c r="AC21" s="11" t="n">
        <v>11.1356108294494</v>
      </c>
      <c r="AD21" s="11" t="n">
        <v>10.9498065093755</v>
      </c>
      <c r="AE21" s="11" t="n">
        <v>10.6141423946229</v>
      </c>
      <c r="AF21" s="11" t="n">
        <v>10.121289044966</v>
      </c>
      <c r="AG21" s="11" t="n">
        <v>9.66952181906882</v>
      </c>
      <c r="AH21" s="11" t="n">
        <v>8.98580877911218</v>
      </c>
      <c r="AI21" s="11" t="n">
        <v>8.15976812106435</v>
      </c>
      <c r="AJ21" s="11" t="n">
        <v>7.58436627904264</v>
      </c>
      <c r="AK21" s="11" t="n">
        <v>7.06898863688572</v>
      </c>
      <c r="AL21" s="11" t="n">
        <v>6.59748890429982</v>
      </c>
      <c r="AM21" s="11" t="n">
        <v>6.14657126839515</v>
      </c>
      <c r="AN21" s="11" t="n">
        <v>5.78995641676736</v>
      </c>
      <c r="AO21" s="11" t="n">
        <v>5.45582110094932</v>
      </c>
      <c r="AP21" s="11" t="n">
        <v>5.13969410232909</v>
      </c>
      <c r="AQ21" s="11" t="n">
        <v>4.83421727365179</v>
      </c>
      <c r="AR21" s="11" t="n">
        <v>4.55598570157372</v>
      </c>
      <c r="AS21" s="11" t="n">
        <v>4.31470265813777</v>
      </c>
      <c r="AT21" s="11" t="n">
        <v>4.09884472060176</v>
      </c>
      <c r="AU21" s="11" t="n">
        <v>3.89091088317771</v>
      </c>
      <c r="AV21" s="11" t="n">
        <v>3.70734813175857</v>
      </c>
      <c r="AW21" s="11" t="n">
        <v>3.53638632023551</v>
      </c>
      <c r="AX21" s="11" t="n">
        <v>3.38044042697567</v>
      </c>
      <c r="AY21" s="11" t="n">
        <v>3.24624656805012</v>
      </c>
      <c r="AZ21" s="11" t="n">
        <v>3.14013667374679</v>
      </c>
      <c r="BA21" s="11" t="n">
        <v>3.06190005083168</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1.48366130882975</v>
      </c>
      <c r="F22" s="11" t="n">
        <v>1.24305334298279</v>
      </c>
      <c r="G22" s="11" t="n">
        <v>0.617640551647897</v>
      </c>
      <c r="H22" s="11" t="n">
        <v>0.538700846476154</v>
      </c>
      <c r="I22" s="11" t="n">
        <v>0.546409279966551</v>
      </c>
      <c r="J22" s="11" t="n">
        <v>0.533270281772292</v>
      </c>
      <c r="K22" s="11" t="n">
        <v>0.531928867885412</v>
      </c>
      <c r="L22" s="11" t="n">
        <v>0.44692564402011</v>
      </c>
      <c r="M22" s="11" t="n">
        <v>0.43528910732139</v>
      </c>
      <c r="N22" s="11" t="n">
        <v>0.412312802276656</v>
      </c>
      <c r="O22" s="11" t="n">
        <v>0.51862161306472</v>
      </c>
      <c r="P22" s="11" t="n">
        <v>0.432138729457178</v>
      </c>
      <c r="Q22" s="11" t="n">
        <v>0.364067786446408</v>
      </c>
      <c r="R22" s="11" t="n">
        <v>0.318513971049458</v>
      </c>
      <c r="S22" s="11" t="n">
        <v>0.402942811428176</v>
      </c>
      <c r="T22" s="11" t="n">
        <v>0.368307653921605</v>
      </c>
      <c r="U22" s="11" t="n">
        <v>0.369821205860997</v>
      </c>
      <c r="V22" s="11" t="n">
        <v>0.277694286963564</v>
      </c>
      <c r="W22" s="11" t="n">
        <v>0.255311612882481</v>
      </c>
      <c r="X22" s="11" t="n">
        <v>0.195240026958578</v>
      </c>
      <c r="Y22" s="11" t="n">
        <v>0.281496039558142</v>
      </c>
      <c r="Z22" s="11" t="n">
        <v>0.399303588048535</v>
      </c>
      <c r="AA22" s="11" t="n">
        <v>0.243138181819986</v>
      </c>
      <c r="AB22" s="11" t="n">
        <v>0.294217429839836</v>
      </c>
      <c r="AC22" s="11" t="n">
        <v>0.23782779605641</v>
      </c>
      <c r="AD22" s="11" t="n">
        <v>0.274427975434271</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0.145322964863699</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0.788373788456026</v>
      </c>
      <c r="BP22" s="11" t="n">
        <v>0.788373788456026</v>
      </c>
      <c r="BQ22" s="11" t="n">
        <v>0.788373788456026</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0.426418736992623</v>
      </c>
      <c r="AE23" s="11" t="n">
        <v>0.458386532676318</v>
      </c>
      <c r="AF23" s="11" t="n">
        <v>0.460093295564997</v>
      </c>
      <c r="AG23" s="11" t="n">
        <v>0.565037427403676</v>
      </c>
      <c r="AH23" s="11" t="n">
        <v>0.49719676355469</v>
      </c>
      <c r="AI23" s="11" t="n">
        <v>0.425406162786779</v>
      </c>
      <c r="AJ23" s="11" t="n">
        <v>0.38749956929647</v>
      </c>
      <c r="AK23" s="11" t="n">
        <v>0.333442729385777</v>
      </c>
      <c r="AL23" s="11" t="n">
        <v>0.301791676439176</v>
      </c>
      <c r="AM23" s="11" t="n">
        <v>0.307854862676676</v>
      </c>
      <c r="AN23" s="11" t="n">
        <v>0.314290204270113</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0.372815184884234</v>
      </c>
      <c r="AW23" s="11" t="n">
        <v>0.380977508595361</v>
      </c>
      <c r="AX23" s="11" t="n">
        <v>0.389343890399265</v>
      </c>
      <c r="AY23" s="11" t="n">
        <v>0.389343890399265</v>
      </c>
      <c r="AZ23" s="11" t="n">
        <v>0.389343890399265</v>
      </c>
      <c r="BA23" s="11" t="n">
        <v>0.389343890399265</v>
      </c>
      <c r="BB23" s="11" t="n">
        <v>0.389343890399265</v>
      </c>
      <c r="BC23" s="11" t="n">
        <v>0.389343890399265</v>
      </c>
      <c r="BD23" s="11" t="n">
        <v>0.389343890399265</v>
      </c>
      <c r="BE23" s="11" t="n">
        <v>0.389343890399265</v>
      </c>
      <c r="BF23" s="11" t="n">
        <v>0.389343890399265</v>
      </c>
      <c r="BG23" s="11" t="n">
        <v>0.389343890399265</v>
      </c>
      <c r="BH23" s="11" t="n">
        <v>0.389343890399265</v>
      </c>
      <c r="BI23" s="11" t="n">
        <v>0.389343890399265</v>
      </c>
      <c r="BJ23" s="11" t="n">
        <v>0.389343890399265</v>
      </c>
      <c r="BK23" s="11" t="n">
        <v>0.389343890399265</v>
      </c>
      <c r="BL23" s="11" t="n">
        <v>0.389343890399265</v>
      </c>
      <c r="BM23" s="11" t="n">
        <v>0.389343890399265</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333.205764375449</v>
      </c>
      <c r="AN25" s="11" t="n">
        <v>325.829975935978</v>
      </c>
      <c r="AO25" s="11" t="n">
        <v>318.127156669806</v>
      </c>
      <c r="AP25" s="11" t="n">
        <v>311.439185709885</v>
      </c>
      <c r="AQ25" s="11" t="n">
        <v>304.100782505914</v>
      </c>
      <c r="AR25" s="11" t="n">
        <v>298.498490876739</v>
      </c>
      <c r="AS25" s="11" t="n">
        <v>291.904004381038</v>
      </c>
      <c r="AT25" s="11" t="n">
        <v>285.420976437835</v>
      </c>
      <c r="AU25" s="11" t="n">
        <v>280.323689444841</v>
      </c>
      <c r="AV25" s="11" t="n">
        <v>275.755829424077</v>
      </c>
      <c r="AW25" s="11" t="n">
        <v>272.109195833422</v>
      </c>
      <c r="AX25" s="11" t="n">
        <v>269.244613436647</v>
      </c>
      <c r="AY25" s="11" t="n">
        <v>263.226921926768</v>
      </c>
      <c r="AZ25" s="11" t="n">
        <v>259.717411212273</v>
      </c>
      <c r="BA25" s="11" t="n">
        <v>257.025747860754</v>
      </c>
      <c r="BB25" s="11" t="n">
        <v>254.779068268919</v>
      </c>
      <c r="BC25" s="11" t="n">
        <v>253.465227453337</v>
      </c>
      <c r="BD25" s="11" t="n">
        <v>253.374063754226</v>
      </c>
      <c r="BE25" s="11" t="n">
        <v>253.55191876407</v>
      </c>
      <c r="BF25" s="11" t="n">
        <v>253.484583174075</v>
      </c>
      <c r="BG25" s="11" t="n">
        <v>253.674291124752</v>
      </c>
      <c r="BH25" s="11" t="n">
        <v>252.946311669801</v>
      </c>
      <c r="BI25" s="11" t="n">
        <v>253.258400397893</v>
      </c>
      <c r="BJ25" s="11" t="n">
        <v>253.436766359481</v>
      </c>
      <c r="BK25" s="11" t="n">
        <v>255.192072344371</v>
      </c>
      <c r="BL25" s="11" t="n">
        <v>254.399175181116</v>
      </c>
      <c r="BM25" s="11" t="n">
        <v>253.022455392644</v>
      </c>
      <c r="BN25" s="11" t="n">
        <v>1630.53623122037</v>
      </c>
      <c r="BO25" s="11" t="n">
        <v>1460.24794364637</v>
      </c>
      <c r="BP25" s="11" t="n">
        <v>1340.05397183319</v>
      </c>
      <c r="BQ25" s="11" t="n">
        <v>1272.19602610131</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140.220832717651</v>
      </c>
      <c r="J26" s="11" t="n">
        <v>141.62570447565</v>
      </c>
      <c r="K26" s="11" t="n">
        <v>141.138614388231</v>
      </c>
      <c r="L26" s="11" t="n">
        <v>138.524436182827</v>
      </c>
      <c r="M26" s="11" t="n">
        <v>135.462212228555</v>
      </c>
      <c r="N26" s="11" t="n">
        <v>129.859065263225</v>
      </c>
      <c r="O26" s="11" t="n">
        <v>123.920486839629</v>
      </c>
      <c r="P26" s="11" t="n">
        <v>118.64001130189</v>
      </c>
      <c r="Q26" s="11" t="n">
        <v>116.77678020067</v>
      </c>
      <c r="R26" s="11" t="n">
        <v>111.853160224235</v>
      </c>
      <c r="S26" s="11" t="n">
        <v>107.03393682204</v>
      </c>
      <c r="T26" s="11" t="n">
        <v>102.664117491926</v>
      </c>
      <c r="U26" s="11" t="n">
        <v>99.2297893209561</v>
      </c>
      <c r="V26" s="11" t="n">
        <v>94.7753153178419</v>
      </c>
      <c r="W26" s="11" t="n">
        <v>88.4981359307023</v>
      </c>
      <c r="X26" s="11" t="n">
        <v>83.9244036183387</v>
      </c>
      <c r="Y26" s="11" t="n">
        <v>78.667322755185</v>
      </c>
      <c r="Z26" s="11" t="n">
        <v>75.6712751364844</v>
      </c>
      <c r="AA26" s="11" t="n">
        <v>73.8280122064821</v>
      </c>
      <c r="AB26" s="11" t="n">
        <v>68.980177011707</v>
      </c>
      <c r="AC26" s="11" t="n">
        <v>66.6821086932931</v>
      </c>
      <c r="AD26" s="11" t="n">
        <v>65.4783580021182</v>
      </c>
      <c r="AE26" s="11" t="n">
        <v>63.0801894570004</v>
      </c>
      <c r="AF26" s="11" t="n">
        <v>63.35861040571</v>
      </c>
      <c r="AG26" s="11" t="n">
        <v>62.7602337118584</v>
      </c>
      <c r="AH26" s="11" t="n">
        <v>62.4134940187284</v>
      </c>
      <c r="AI26" s="11" t="n">
        <v>59.9984424095154</v>
      </c>
      <c r="AJ26" s="11" t="n">
        <v>58.7276734594613</v>
      </c>
      <c r="AK26" s="11" t="n">
        <v>58.0898467243932</v>
      </c>
      <c r="AL26" s="11" t="n">
        <v>57.0200585910277</v>
      </c>
      <c r="AM26" s="11" t="n">
        <v>55.5172727235413</v>
      </c>
      <c r="AN26" s="11" t="n">
        <v>54.6854878008024</v>
      </c>
      <c r="AO26" s="11" t="n">
        <v>54.0079948075884</v>
      </c>
      <c r="AP26" s="11" t="n">
        <v>54.1406393217066</v>
      </c>
      <c r="AQ26" s="11" t="n">
        <v>52.9273727374203</v>
      </c>
      <c r="AR26" s="11" t="n">
        <v>51.926517906694</v>
      </c>
      <c r="AS26" s="11" t="n">
        <v>50.9092530057285</v>
      </c>
      <c r="AT26" s="11" t="n">
        <v>49.966342224468</v>
      </c>
      <c r="AU26" s="11" t="n">
        <v>49.0295898646872</v>
      </c>
      <c r="AV26" s="11" t="n">
        <v>48.1778975949342</v>
      </c>
      <c r="AW26" s="11" t="n">
        <v>47.4427057765163</v>
      </c>
      <c r="AX26" s="11" t="n">
        <v>46.7170421168775</v>
      </c>
      <c r="AY26" s="11" t="n">
        <v>45.9964956385501</v>
      </c>
      <c r="AZ26" s="11" t="n">
        <v>45.308955107139</v>
      </c>
      <c r="BA26" s="11" t="n">
        <v>44.7250894966103</v>
      </c>
      <c r="BB26" s="11" t="n">
        <v>44.1587820104459</v>
      </c>
      <c r="BC26" s="11" t="n">
        <v>43.635631122168</v>
      </c>
      <c r="BD26" s="11" t="n">
        <v>43.1198678780951</v>
      </c>
      <c r="BE26" s="11" t="n">
        <v>42.6442620769094</v>
      </c>
      <c r="BF26" s="11" t="n">
        <v>42.2361716899713</v>
      </c>
      <c r="BG26" s="11" t="n">
        <v>41.8492151183362</v>
      </c>
      <c r="BH26" s="11" t="n">
        <v>41.4785558726706</v>
      </c>
      <c r="BI26" s="11" t="n">
        <v>41.1249136976923</v>
      </c>
      <c r="BJ26" s="11" t="n">
        <v>40.78239040219</v>
      </c>
      <c r="BK26" s="11" t="n">
        <v>40.4610045702767</v>
      </c>
      <c r="BL26" s="11" t="n">
        <v>40.1640316049187</v>
      </c>
      <c r="BM26" s="11" t="n">
        <v>39.8877175998756</v>
      </c>
      <c r="BN26" s="11" t="n">
        <v>275.371453244666</v>
      </c>
      <c r="BO26" s="11" t="n">
        <v>254.759075738998</v>
      </c>
      <c r="BP26" s="11" t="n">
        <v>233.643096234017</v>
      </c>
      <c r="BQ26" s="11" t="n">
        <v>218.283632584229</v>
      </c>
    </row>
    <row r="27" customFormat="false" ht="13.8" hidden="false" customHeight="false" outlineLevel="0" collapsed="false">
      <c r="A27" s="11" t="s">
        <v>155</v>
      </c>
      <c r="B27" s="11" t="s">
        <v>140</v>
      </c>
      <c r="C27" s="11" t="s">
        <v>139</v>
      </c>
      <c r="D27" s="12"/>
      <c r="E27" s="11" t="n">
        <v>44.3002234775336</v>
      </c>
      <c r="F27" s="11" t="n">
        <v>44.4052277252299</v>
      </c>
      <c r="G27" s="11" t="n">
        <v>39.9378274497614</v>
      </c>
      <c r="H27" s="11" t="n">
        <v>36.1377812173721</v>
      </c>
      <c r="I27" s="11" t="n">
        <v>36.733575590136</v>
      </c>
      <c r="J27" s="11" t="n">
        <v>35.5262647513158</v>
      </c>
      <c r="K27" s="11" t="n">
        <v>35.5202840220701</v>
      </c>
      <c r="L27" s="11" t="n">
        <v>35.7888793937191</v>
      </c>
      <c r="M27" s="11" t="n">
        <v>35.8446693081235</v>
      </c>
      <c r="N27" s="11" t="n">
        <v>27.2931949805531</v>
      </c>
      <c r="O27" s="11" t="n">
        <v>26.7745080049933</v>
      </c>
      <c r="P27" s="11" t="n">
        <v>25.5332295216333</v>
      </c>
      <c r="Q27" s="11" t="n">
        <v>24.0080781455952</v>
      </c>
      <c r="R27" s="11" t="n">
        <v>23.6493473576149</v>
      </c>
      <c r="S27" s="11" t="n">
        <v>24.1732056787632</v>
      </c>
      <c r="T27" s="11" t="n">
        <v>23.2738708129377</v>
      </c>
      <c r="U27" s="11" t="n">
        <v>22.3723859735233</v>
      </c>
      <c r="V27" s="11" t="n">
        <v>22.3871776205364</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20.0055547697637</v>
      </c>
      <c r="AF27" s="11" t="n">
        <v>20.2878791430463</v>
      </c>
      <c r="AG27" s="11" t="n">
        <v>20.1618254992518</v>
      </c>
      <c r="AH27" s="11" t="n">
        <v>20.2029843423827</v>
      </c>
      <c r="AI27" s="11" t="n">
        <v>18.9789878158805</v>
      </c>
      <c r="AJ27" s="11" t="n">
        <v>19.343581552368</v>
      </c>
      <c r="AK27" s="11" t="n">
        <v>18.5808205022007</v>
      </c>
      <c r="AL27" s="11" t="n">
        <v>18.4485657982639</v>
      </c>
      <c r="AM27" s="11" t="n">
        <v>18.7553341449773</v>
      </c>
      <c r="AN27" s="11" t="n">
        <v>18.7352046992329</v>
      </c>
      <c r="AO27" s="11" t="n">
        <v>18.7128739824277</v>
      </c>
      <c r="AP27" s="11" t="n">
        <v>18.6685939685724</v>
      </c>
      <c r="AQ27" s="11" t="n">
        <v>18.5363201416109</v>
      </c>
      <c r="AR27" s="11" t="n">
        <v>18.5115916453155</v>
      </c>
      <c r="AS27" s="11" t="n">
        <v>18.4357728600869</v>
      </c>
      <c r="AT27" s="11" t="n">
        <v>18.3560497940624</v>
      </c>
      <c r="AU27" s="11" t="n">
        <v>18.2130557224302</v>
      </c>
      <c r="AV27" s="11" t="n">
        <v>18.1200402896194</v>
      </c>
      <c r="AW27" s="11" t="n">
        <v>18.0430875556581</v>
      </c>
      <c r="AX27" s="11" t="n">
        <v>17.9361965426584</v>
      </c>
      <c r="AY27" s="11" t="n">
        <v>17.8284235789065</v>
      </c>
      <c r="AZ27" s="11" t="n">
        <v>17.6388738815779</v>
      </c>
      <c r="BA27" s="11" t="n">
        <v>17.5642909870586</v>
      </c>
      <c r="BB27" s="11" t="n">
        <v>17.4820201190806</v>
      </c>
      <c r="BC27" s="11" t="n">
        <v>17.405367683822</v>
      </c>
      <c r="BD27" s="11" t="n">
        <v>17.3283290554434</v>
      </c>
      <c r="BE27" s="11" t="n">
        <v>17.2578899922117</v>
      </c>
      <c r="BF27" s="11" t="n">
        <v>17.1994147298116</v>
      </c>
      <c r="BG27" s="11" t="n">
        <v>17.1432052266259</v>
      </c>
      <c r="BH27" s="11" t="n">
        <v>17.0852165250298</v>
      </c>
      <c r="BI27" s="11" t="n">
        <v>17.0322511109944</v>
      </c>
      <c r="BJ27" s="11" t="n">
        <v>16.9763510435243</v>
      </c>
      <c r="BK27" s="11" t="n">
        <v>16.9250986833421</v>
      </c>
      <c r="BL27" s="11" t="n">
        <v>16.8660698370944</v>
      </c>
      <c r="BM27" s="11" t="n">
        <v>16.8125332657985</v>
      </c>
      <c r="BN27" s="11" t="n">
        <v>93.3205725934743</v>
      </c>
      <c r="BO27" s="11" t="n">
        <v>92.0527901635059</v>
      </c>
      <c r="BP27" s="11" t="n">
        <v>89.5666218484203</v>
      </c>
      <c r="BQ27" s="11" t="n">
        <v>87.0378978376164</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10.4979550302191</v>
      </c>
      <c r="Z28" s="11" t="n">
        <v>11.0654107151362</v>
      </c>
      <c r="AA28" s="11" t="n">
        <v>11.5161328830887</v>
      </c>
      <c r="AB28" s="11" t="n">
        <v>11.6114703501195</v>
      </c>
      <c r="AC28" s="11" t="n">
        <v>11.1356108294494</v>
      </c>
      <c r="AD28" s="11" t="n">
        <v>10.9498065093755</v>
      </c>
      <c r="AE28" s="11" t="n">
        <v>10.6141423946229</v>
      </c>
      <c r="AF28" s="11" t="n">
        <v>10.121289044966</v>
      </c>
      <c r="AG28" s="11" t="n">
        <v>9.66952181906882</v>
      </c>
      <c r="AH28" s="11" t="n">
        <v>8.98580877911218</v>
      </c>
      <c r="AI28" s="11" t="n">
        <v>8.15976812106435</v>
      </c>
      <c r="AJ28" s="11" t="n">
        <v>7.58436627904264</v>
      </c>
      <c r="AK28" s="11" t="n">
        <v>7.06898863688572</v>
      </c>
      <c r="AL28" s="11" t="n">
        <v>6.59748890429982</v>
      </c>
      <c r="AM28" s="11" t="n">
        <v>6.14657126839515</v>
      </c>
      <c r="AN28" s="11" t="n">
        <v>5.78995641676736</v>
      </c>
      <c r="AO28" s="11" t="n">
        <v>5.45582110094932</v>
      </c>
      <c r="AP28" s="11" t="n">
        <v>5.13969410232909</v>
      </c>
      <c r="AQ28" s="11" t="n">
        <v>4.83421727365179</v>
      </c>
      <c r="AR28" s="11" t="n">
        <v>4.55598570157372</v>
      </c>
      <c r="AS28" s="11" t="n">
        <v>4.31470265813777</v>
      </c>
      <c r="AT28" s="11" t="n">
        <v>4.09884472060176</v>
      </c>
      <c r="AU28" s="11" t="n">
        <v>3.89091088317771</v>
      </c>
      <c r="AV28" s="11" t="n">
        <v>3.70734813175857</v>
      </c>
      <c r="AW28" s="11" t="n">
        <v>3.53638632023551</v>
      </c>
      <c r="AX28" s="11" t="n">
        <v>3.38044042697567</v>
      </c>
      <c r="AY28" s="11" t="n">
        <v>3.24624656805012</v>
      </c>
      <c r="AZ28" s="11" t="n">
        <v>3.14013667374679</v>
      </c>
      <c r="BA28" s="11" t="n">
        <v>3.06190005083168</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1.48366130882975</v>
      </c>
      <c r="F29" s="11" t="n">
        <v>1.24305334298279</v>
      </c>
      <c r="G29" s="11" t="n">
        <v>0.617640551647897</v>
      </c>
      <c r="H29" s="11" t="n">
        <v>0.538700846476154</v>
      </c>
      <c r="I29" s="11" t="n">
        <v>0.546409279966551</v>
      </c>
      <c r="J29" s="11" t="n">
        <v>0.533270281772292</v>
      </c>
      <c r="K29" s="11" t="n">
        <v>0.531928867885412</v>
      </c>
      <c r="L29" s="11" t="n">
        <v>0.44692564402011</v>
      </c>
      <c r="M29" s="11" t="n">
        <v>0.43528910732139</v>
      </c>
      <c r="N29" s="11" t="n">
        <v>0.412312802276656</v>
      </c>
      <c r="O29" s="11" t="n">
        <v>0.51862161306472</v>
      </c>
      <c r="P29" s="11" t="n">
        <v>0.432138729457178</v>
      </c>
      <c r="Q29" s="11" t="n">
        <v>0.364067786446408</v>
      </c>
      <c r="R29" s="11" t="n">
        <v>0.318513971049458</v>
      </c>
      <c r="S29" s="11" t="n">
        <v>0.402942811428176</v>
      </c>
      <c r="T29" s="11" t="n">
        <v>0.368307653921605</v>
      </c>
      <c r="U29" s="11" t="n">
        <v>0.369821205860997</v>
      </c>
      <c r="V29" s="11" t="n">
        <v>0.277694286963564</v>
      </c>
      <c r="W29" s="11" t="n">
        <v>0.255311612882481</v>
      </c>
      <c r="X29" s="11" t="n">
        <v>0.195240026958578</v>
      </c>
      <c r="Y29" s="11" t="n">
        <v>0.281496039558142</v>
      </c>
      <c r="Z29" s="11" t="n">
        <v>0.399303588048535</v>
      </c>
      <c r="AA29" s="11" t="n">
        <v>0.243138181819986</v>
      </c>
      <c r="AB29" s="11" t="n">
        <v>0.294217429839836</v>
      </c>
      <c r="AC29" s="11" t="n">
        <v>0.23782779605641</v>
      </c>
      <c r="AD29" s="11" t="n">
        <v>0.274427975434271</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0.145322964863699</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0.788373788456026</v>
      </c>
      <c r="BP29" s="11" t="n">
        <v>0.788373788456026</v>
      </c>
      <c r="BQ29" s="11" t="n">
        <v>0.788373788456026</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0.426418736992623</v>
      </c>
      <c r="AE30" s="11" t="n">
        <v>0.458386532676318</v>
      </c>
      <c r="AF30" s="11" t="n">
        <v>0.460093295564997</v>
      </c>
      <c r="AG30" s="11" t="n">
        <v>0.565037427403676</v>
      </c>
      <c r="AH30" s="11" t="n">
        <v>0.49719676355469</v>
      </c>
      <c r="AI30" s="11" t="n">
        <v>0.425406162786779</v>
      </c>
      <c r="AJ30" s="11" t="n">
        <v>0.38749956929647</v>
      </c>
      <c r="AK30" s="11" t="n">
        <v>0.333442729385777</v>
      </c>
      <c r="AL30" s="11" t="n">
        <v>0.301791676439176</v>
      </c>
      <c r="AM30" s="11" t="n">
        <v>0.307854862676676</v>
      </c>
      <c r="AN30" s="11" t="n">
        <v>0.314290204270113</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0.372815184884234</v>
      </c>
      <c r="AW30" s="11" t="n">
        <v>0.380977508595361</v>
      </c>
      <c r="AX30" s="11" t="n">
        <v>0.389343890399265</v>
      </c>
      <c r="AY30" s="11" t="n">
        <v>0.389343890399265</v>
      </c>
      <c r="AZ30" s="11" t="n">
        <v>0.389343890399265</v>
      </c>
      <c r="BA30" s="11" t="n">
        <v>0.389343890399265</v>
      </c>
      <c r="BB30" s="11" t="n">
        <v>0.389343890399265</v>
      </c>
      <c r="BC30" s="11" t="n">
        <v>0.389343890399265</v>
      </c>
      <c r="BD30" s="11" t="n">
        <v>0.389343890399265</v>
      </c>
      <c r="BE30" s="11" t="n">
        <v>0.389343890399265</v>
      </c>
      <c r="BF30" s="11" t="n">
        <v>0.389343890399265</v>
      </c>
      <c r="BG30" s="11" t="n">
        <v>0.389343890399265</v>
      </c>
      <c r="BH30" s="11" t="n">
        <v>0.389343890399265</v>
      </c>
      <c r="BI30" s="11" t="n">
        <v>0.389343890399265</v>
      </c>
      <c r="BJ30" s="11" t="n">
        <v>0.389343890399265</v>
      </c>
      <c r="BK30" s="11" t="n">
        <v>0.389343890399265</v>
      </c>
      <c r="BL30" s="11" t="n">
        <v>0.389343890399265</v>
      </c>
      <c r="BM30" s="11" t="n">
        <v>0.389343890399265</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32.3429075604533</v>
      </c>
      <c r="H33" s="11" t="n">
        <v>32.2867215516015</v>
      </c>
      <c r="I33" s="11" t="n">
        <v>32.4376625870691</v>
      </c>
      <c r="J33" s="11" t="n">
        <v>32.2069060308038</v>
      </c>
      <c r="K33" s="11" t="n">
        <v>32.8262420298166</v>
      </c>
      <c r="L33" s="11" t="n">
        <v>32.5783502819476</v>
      </c>
      <c r="M33" s="11" t="n">
        <v>32.6734220770182</v>
      </c>
      <c r="N33" s="11" t="n">
        <v>32.5130465142707</v>
      </c>
      <c r="O33" s="11" t="n">
        <v>31.5208846643531</v>
      </c>
      <c r="P33" s="11" t="n">
        <v>29.9473573096137</v>
      </c>
      <c r="Q33" s="11" t="n">
        <v>29.4891220094733</v>
      </c>
      <c r="R33" s="11" t="n">
        <v>29.7648113387233</v>
      </c>
      <c r="S33" s="11" t="n">
        <v>30.0129038331228</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27.8900628145383</v>
      </c>
      <c r="AK33" s="11" t="n">
        <v>27.7847764250513</v>
      </c>
      <c r="AL33" s="11" t="n">
        <v>27.2034581433579</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16.3728090246473</v>
      </c>
      <c r="F34" s="11" t="n">
        <v>16.3652204738222</v>
      </c>
      <c r="G34" s="11" t="n">
        <v>15.7880323748618</v>
      </c>
      <c r="H34" s="11" t="n">
        <v>15.3872752709717</v>
      </c>
      <c r="I34" s="11" t="n">
        <v>15.9578378738726</v>
      </c>
      <c r="J34" s="11" t="n">
        <v>16.0073151624586</v>
      </c>
      <c r="K34" s="11" t="n">
        <v>16.2385566670362</v>
      </c>
      <c r="L34" s="11" t="n">
        <v>16.4227129027924</v>
      </c>
      <c r="M34" s="11" t="n">
        <v>16.2079933627153</v>
      </c>
      <c r="N34" s="11" t="n">
        <v>16.2277371694367</v>
      </c>
      <c r="O34" s="11" t="n">
        <v>15.5059070589611</v>
      </c>
      <c r="P34" s="11" t="n">
        <v>14.9262809717382</v>
      </c>
      <c r="Q34" s="11" t="n">
        <v>14.9166492139828</v>
      </c>
      <c r="R34" s="11" t="n">
        <v>14.8411843098522</v>
      </c>
      <c r="S34" s="11" t="n">
        <v>14.6249013723468</v>
      </c>
      <c r="T34" s="11" t="n">
        <v>14.319878479678</v>
      </c>
      <c r="U34" s="11" t="n">
        <v>13.9484125589319</v>
      </c>
      <c r="V34" s="11" t="n">
        <v>13.6898865319666</v>
      </c>
      <c r="W34" s="11" t="n">
        <v>13.5903470722667</v>
      </c>
      <c r="X34" s="11" t="n">
        <v>13.5319011034865</v>
      </c>
      <c r="Y34" s="11" t="n">
        <v>13.7591024678466</v>
      </c>
      <c r="Z34" s="11" t="n">
        <v>13.7877731979964</v>
      </c>
      <c r="AA34" s="11" t="n">
        <v>13.6595715469706</v>
      </c>
      <c r="AB34" s="11" t="n">
        <v>13.7111904939868</v>
      </c>
      <c r="AC34" s="11" t="n">
        <v>14.2109240717554</v>
      </c>
      <c r="AD34" s="11" t="n">
        <v>14.1380536664966</v>
      </c>
      <c r="AE34" s="11" t="n">
        <v>13.813109346583</v>
      </c>
      <c r="AF34" s="11" t="n">
        <v>14.0170958536443</v>
      </c>
      <c r="AG34" s="11" t="n">
        <v>13.8566444133239</v>
      </c>
      <c r="AH34" s="11" t="n">
        <v>13.9485106648271</v>
      </c>
      <c r="AI34" s="11" t="n">
        <v>13.1569075442857</v>
      </c>
      <c r="AJ34" s="11" t="n">
        <v>13.478563412585</v>
      </c>
      <c r="AK34" s="11" t="n">
        <v>12.7290815643072</v>
      </c>
      <c r="AL34" s="11" t="n">
        <v>12.5191024192604</v>
      </c>
      <c r="AM34" s="11" t="n">
        <v>12.5045953938355</v>
      </c>
      <c r="AN34" s="11" t="n">
        <v>12.5098559697839</v>
      </c>
      <c r="AO34" s="11" t="n">
        <v>12.5217901091835</v>
      </c>
      <c r="AP34" s="11" t="n">
        <v>12.5376828555556</v>
      </c>
      <c r="AQ34" s="11" t="n">
        <v>12.5541577344059</v>
      </c>
      <c r="AR34" s="11" t="n">
        <v>12.5678684965442</v>
      </c>
      <c r="AS34" s="11" t="n">
        <v>12.5756416332501</v>
      </c>
      <c r="AT34" s="11" t="n">
        <v>12.5570215325553</v>
      </c>
      <c r="AU34" s="11" t="n">
        <v>12.5324913014387</v>
      </c>
      <c r="AV34" s="11" t="n">
        <v>12.5034970082266</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62.7871806981944</v>
      </c>
      <c r="BP34" s="11" t="n">
        <v>62.1470433189398</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78.0993954971161</v>
      </c>
      <c r="AO39" s="11" t="n">
        <v>77.8191398148608</v>
      </c>
      <c r="AP39" s="11" t="n">
        <v>77.56927409855</v>
      </c>
      <c r="AQ39" s="11" t="n">
        <v>77.1987063363305</v>
      </c>
      <c r="AR39" s="11" t="n">
        <v>77.1781224587091</v>
      </c>
      <c r="AS39" s="11" t="n">
        <v>76.9304112126765</v>
      </c>
      <c r="AT39" s="11" t="n">
        <v>76.831386935612</v>
      </c>
      <c r="AU39" s="11" t="n">
        <v>76.7280940172278</v>
      </c>
      <c r="AV39" s="11" t="n">
        <v>76.6791692464068</v>
      </c>
      <c r="AW39" s="11" t="n">
        <v>76.6519537412894</v>
      </c>
      <c r="AX39" s="11" t="n">
        <v>76.6819863817909</v>
      </c>
      <c r="AY39" s="11" t="n">
        <v>77.0938785137138</v>
      </c>
      <c r="AZ39" s="11" t="n">
        <v>77.1885717150228</v>
      </c>
      <c r="BA39" s="11" t="n">
        <v>77.373004997714</v>
      </c>
      <c r="BB39" s="11" t="n">
        <v>77.5682434061413</v>
      </c>
      <c r="BC39" s="11" t="n">
        <v>77.8043715213258</v>
      </c>
      <c r="BD39" s="11" t="n">
        <v>78.1247705426546</v>
      </c>
      <c r="BE39" s="11" t="n">
        <v>78.2940154741491</v>
      </c>
      <c r="BF39" s="11" t="n">
        <v>78.3879223778428</v>
      </c>
      <c r="BG39" s="11" t="n">
        <v>78.6795273288734</v>
      </c>
      <c r="BH39" s="11" t="n">
        <v>78.6411556399715</v>
      </c>
      <c r="BI39" s="11" t="n">
        <v>78.7048109934459</v>
      </c>
      <c r="BJ39" s="11" t="n">
        <v>78.9090250440513</v>
      </c>
      <c r="BK39" s="11" t="n">
        <v>78.9233784054088</v>
      </c>
      <c r="BL39" s="11" t="n">
        <v>78.8453885916724</v>
      </c>
      <c r="BM39" s="11" t="n">
        <v>78.7618284483197</v>
      </c>
      <c r="BN39" s="11" t="n">
        <v>380.957098795847</v>
      </c>
      <c r="BO39" s="11" t="n">
        <v>384.866720960556</v>
      </c>
      <c r="BP39" s="11" t="n">
        <v>384.295559598224</v>
      </c>
      <c r="BQ39" s="11" t="n">
        <v>389.164405941985</v>
      </c>
    </row>
    <row r="40" customFormat="false" ht="13.8" hidden="false" customHeight="false" outlineLevel="0" collapsed="false">
      <c r="A40" s="11" t="s">
        <v>154</v>
      </c>
      <c r="B40" s="11" t="s">
        <v>145</v>
      </c>
      <c r="C40" s="11" t="s">
        <v>139</v>
      </c>
      <c r="D40" s="12"/>
      <c r="E40" s="11" t="n">
        <v>1.9343874301736</v>
      </c>
      <c r="F40" s="11" t="n">
        <v>2.09281339675811</v>
      </c>
      <c r="G40" s="11" t="n">
        <v>1.90487465016747</v>
      </c>
      <c r="H40" s="11" t="n">
        <v>2.0400292812682</v>
      </c>
      <c r="I40" s="11" t="n">
        <v>1.7952750564989</v>
      </c>
      <c r="J40" s="11" t="n">
        <v>1.44938866258208</v>
      </c>
      <c r="K40" s="11" t="n">
        <v>1.51122564806966</v>
      </c>
      <c r="L40" s="11" t="n">
        <v>1.3737866328731</v>
      </c>
      <c r="M40" s="11" t="n">
        <v>1.33054053572705</v>
      </c>
      <c r="N40" s="11" t="n">
        <v>1.34823620318337</v>
      </c>
      <c r="O40" s="11" t="n">
        <v>1.18822527709927</v>
      </c>
      <c r="P40" s="11" t="n">
        <v>1.16633944776346</v>
      </c>
      <c r="Q40" s="11" t="n">
        <v>1.01383296021305</v>
      </c>
      <c r="R40" s="11" t="n">
        <v>0.93322154285008</v>
      </c>
      <c r="S40" s="11" t="n">
        <v>0.901857739023368</v>
      </c>
      <c r="T40" s="11" t="n">
        <v>0.812122999703224</v>
      </c>
      <c r="U40" s="11" t="n">
        <v>0.795568701358164</v>
      </c>
      <c r="V40" s="11" t="n">
        <v>0.759026928260703</v>
      </c>
      <c r="W40" s="11" t="n">
        <v>0.760082219226097</v>
      </c>
      <c r="X40" s="11" t="n">
        <v>0.745030177478766</v>
      </c>
      <c r="Y40" s="11" t="n">
        <v>0.829548103312322</v>
      </c>
      <c r="Z40" s="11" t="n">
        <v>0.748458555760482</v>
      </c>
      <c r="AA40" s="11" t="n">
        <v>0.78790328833195</v>
      </c>
      <c r="AB40" s="11" t="n">
        <v>0.825365487716614</v>
      </c>
      <c r="AC40" s="11" t="n">
        <v>0.752002415193222</v>
      </c>
      <c r="AD40" s="11" t="n">
        <v>0.769371740819121</v>
      </c>
      <c r="AE40" s="11" t="n">
        <v>0.797824147621668</v>
      </c>
      <c r="AF40" s="11" t="n">
        <v>0.84420341170345</v>
      </c>
      <c r="AG40" s="11" t="n">
        <v>0.884861076081247</v>
      </c>
      <c r="AH40" s="11" t="n">
        <v>0.866246153304041</v>
      </c>
      <c r="AI40" s="11" t="n">
        <v>0.888298323747082</v>
      </c>
      <c r="AJ40" s="11" t="n">
        <v>0.949358927981948</v>
      </c>
      <c r="AK40" s="11" t="n">
        <v>0.895104911792876</v>
      </c>
      <c r="AL40" s="11" t="n">
        <v>0.844939001939519</v>
      </c>
      <c r="AM40" s="11" t="n">
        <v>0.886295151247936</v>
      </c>
      <c r="AN40" s="11" t="n">
        <v>0.89410861790102</v>
      </c>
      <c r="AO40" s="11" t="n">
        <v>0.895819951072392</v>
      </c>
      <c r="AP40" s="11" t="n">
        <v>0.902543867409079</v>
      </c>
      <c r="AQ40" s="11" t="n">
        <v>0.90242531681837</v>
      </c>
      <c r="AR40" s="11" t="n">
        <v>0.896222170346359</v>
      </c>
      <c r="AS40" s="11" t="n">
        <v>0.883090748812576</v>
      </c>
      <c r="AT40" s="11" t="n">
        <v>0.875888415247129</v>
      </c>
      <c r="AU40" s="11" t="n">
        <v>0.872807624177348</v>
      </c>
      <c r="AV40" s="11" t="n">
        <v>0.865515978280436</v>
      </c>
      <c r="AW40" s="11" t="n">
        <v>0.856903615470941</v>
      </c>
      <c r="AX40" s="11" t="n">
        <v>0.836708223026829</v>
      </c>
      <c r="AY40" s="11" t="n">
        <v>0.813933066990548</v>
      </c>
      <c r="AZ40" s="11" t="n">
        <v>0.782559107525134</v>
      </c>
      <c r="BA40" s="11" t="n">
        <v>0.768885701762816</v>
      </c>
      <c r="BB40" s="11" t="n">
        <v>0.755458125797601</v>
      </c>
      <c r="BC40" s="11" t="n">
        <v>0.743224547364535</v>
      </c>
      <c r="BD40" s="11" t="n">
        <v>0.731007256916395</v>
      </c>
      <c r="BE40" s="11" t="n">
        <v>0.714322277068313</v>
      </c>
      <c r="BF40" s="11" t="n">
        <v>0.705663227700419</v>
      </c>
      <c r="BG40" s="11" t="n">
        <v>0.696116985231363</v>
      </c>
      <c r="BH40" s="11" t="n">
        <v>0.679560673633257</v>
      </c>
      <c r="BI40" s="11" t="n">
        <v>0.661718597129887</v>
      </c>
      <c r="BJ40" s="11" t="n">
        <v>0.646006323768408</v>
      </c>
      <c r="BK40" s="11" t="n">
        <v>0.635751154233</v>
      </c>
      <c r="BL40" s="11" t="n">
        <v>0.635323929078289</v>
      </c>
      <c r="BM40" s="11" t="n">
        <v>0.635093429757218</v>
      </c>
      <c r="BN40" s="11" t="n">
        <v>4.42370658956995</v>
      </c>
      <c r="BO40" s="11" t="n">
        <v>4.43043427540178</v>
      </c>
      <c r="BP40" s="11" t="n">
        <v>4.15561999129389</v>
      </c>
      <c r="BQ40" s="11" t="n">
        <v>3.71289790890966</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0.727990636052087</v>
      </c>
      <c r="M41" s="11" t="n">
        <v>0.720053765993904</v>
      </c>
      <c r="N41" s="11" t="n">
        <v>0.724653000290284</v>
      </c>
      <c r="O41" s="11" t="n">
        <v>0.704194326455599</v>
      </c>
      <c r="P41" s="11" t="n">
        <v>0.714911564243158</v>
      </c>
      <c r="Q41" s="11" t="n">
        <v>0.688574056524535</v>
      </c>
      <c r="R41" s="11" t="n">
        <v>0.676763604250922</v>
      </c>
      <c r="S41" s="11" t="n">
        <v>0.680768457459176</v>
      </c>
      <c r="T41" s="11" t="n">
        <v>0.670982937926471</v>
      </c>
      <c r="U41" s="11" t="n">
        <v>0.674474885150766</v>
      </c>
      <c r="V41" s="11" t="n">
        <v>0.669230340665885</v>
      </c>
      <c r="W41" s="11" t="n">
        <v>0.673097742682907</v>
      </c>
      <c r="X41" s="11" t="n">
        <v>0.67454986089093</v>
      </c>
      <c r="Y41" s="11" t="n">
        <v>0.6907640100899</v>
      </c>
      <c r="Z41" s="11" t="n">
        <v>0.675831255143988</v>
      </c>
      <c r="AA41" s="11" t="n">
        <v>0.846545414599524</v>
      </c>
      <c r="AB41" s="11" t="n">
        <v>0.891900592001091</v>
      </c>
      <c r="AC41" s="11" t="n">
        <v>0.893546411799337</v>
      </c>
      <c r="AD41" s="11" t="n">
        <v>0.904083788266458</v>
      </c>
      <c r="AE41" s="11" t="n">
        <v>0.913451796364845</v>
      </c>
      <c r="AF41" s="11" t="n">
        <v>0.905720524710327</v>
      </c>
      <c r="AG41" s="11" t="n">
        <v>0.916538088663762</v>
      </c>
      <c r="AH41" s="11" t="n">
        <v>0.924124505580662</v>
      </c>
      <c r="AI41" s="11" t="n">
        <v>0.901472041065115</v>
      </c>
      <c r="AJ41" s="11" t="n">
        <v>0.883802548357134</v>
      </c>
      <c r="AK41" s="11" t="n">
        <v>0.845712936789407</v>
      </c>
      <c r="AL41" s="11" t="n">
        <v>0.836001263230554</v>
      </c>
      <c r="AM41" s="11" t="n">
        <v>0.889097789671652</v>
      </c>
      <c r="AN41" s="11" t="n">
        <v>0.895709197603282</v>
      </c>
      <c r="AO41" s="11" t="n">
        <v>0.900352396893901</v>
      </c>
      <c r="AP41" s="11" t="n">
        <v>0.904974060385749</v>
      </c>
      <c r="AQ41" s="11" t="n">
        <v>0.907841472510634</v>
      </c>
      <c r="AR41" s="11" t="n">
        <v>0.90983143188794</v>
      </c>
      <c r="AS41" s="11" t="n">
        <v>0.910740923646189</v>
      </c>
      <c r="AT41" s="11" t="n">
        <v>0.912394508157942</v>
      </c>
      <c r="AU41" s="11" t="n">
        <v>0.91453000428529</v>
      </c>
      <c r="AV41" s="11" t="n">
        <v>0.916116200813942</v>
      </c>
      <c r="AW41" s="11" t="n">
        <v>0.917477900522817</v>
      </c>
      <c r="AX41" s="11" t="n">
        <v>0.917192576287516</v>
      </c>
      <c r="AY41" s="11" t="n">
        <v>0.916500734613108</v>
      </c>
      <c r="AZ41" s="11" t="n">
        <v>0.914562244034251</v>
      </c>
      <c r="BA41" s="11" t="n">
        <v>0.915018942836931</v>
      </c>
      <c r="BB41" s="11" t="n">
        <v>0.915466125407019</v>
      </c>
      <c r="BC41" s="11" t="n">
        <v>0.916072532620421</v>
      </c>
      <c r="BD41" s="11" t="n">
        <v>0.916646297124023</v>
      </c>
      <c r="BE41" s="11" t="n">
        <v>0.916560321528595</v>
      </c>
      <c r="BF41" s="11" t="n">
        <v>0.917561338544054</v>
      </c>
      <c r="BG41" s="11" t="n">
        <v>0.918378055129529</v>
      </c>
      <c r="BH41" s="11" t="n">
        <v>0.918109887420628</v>
      </c>
      <c r="BI41" s="11" t="n">
        <v>0.917533958274262</v>
      </c>
      <c r="BJ41" s="11" t="n">
        <v>0.917178290090133</v>
      </c>
      <c r="BK41" s="11" t="n">
        <v>0.917515215314262</v>
      </c>
      <c r="BL41" s="11" t="n">
        <v>0.919151181145192</v>
      </c>
      <c r="BM41" s="11" t="n">
        <v>0.920739960979197</v>
      </c>
      <c r="BN41" s="11" t="n">
        <v>4.42613470778514</v>
      </c>
      <c r="BO41" s="11" t="n">
        <v>4.555338340488</v>
      </c>
      <c r="BP41" s="11" t="n">
        <v>4.58184965627163</v>
      </c>
      <c r="BQ41" s="11" t="n">
        <v>4.57976421951699</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0.887812092871217</v>
      </c>
      <c r="L42" s="11" t="n">
        <v>1.21268939746777</v>
      </c>
      <c r="M42" s="11" t="n">
        <v>1.67943437777013</v>
      </c>
      <c r="N42" s="11" t="n">
        <v>2.23766194274384</v>
      </c>
      <c r="O42" s="11" t="n">
        <v>2.85956892573193</v>
      </c>
      <c r="P42" s="11" t="n">
        <v>3.61885336113621</v>
      </c>
      <c r="Q42" s="11" t="n">
        <v>4.23695062254621</v>
      </c>
      <c r="R42" s="11" t="n">
        <v>4.90898918210383</v>
      </c>
      <c r="S42" s="11" t="n">
        <v>5.47172831627325</v>
      </c>
      <c r="T42" s="11" t="n">
        <v>6.02613382558142</v>
      </c>
      <c r="U42" s="11" t="n">
        <v>6.67512027321028</v>
      </c>
      <c r="V42" s="11" t="n">
        <v>7.09453468955329</v>
      </c>
      <c r="W42" s="11" t="n">
        <v>7.33427063376822</v>
      </c>
      <c r="X42" s="11" t="n">
        <v>7.65072094240051</v>
      </c>
      <c r="Y42" s="11" t="n">
        <v>7.98793642368175</v>
      </c>
      <c r="Z42" s="11" t="n">
        <v>8.37623700129879</v>
      </c>
      <c r="AA42" s="11" t="n">
        <v>8.67742513818832</v>
      </c>
      <c r="AB42" s="11" t="n">
        <v>8.67057952123833</v>
      </c>
      <c r="AC42" s="11" t="n">
        <v>8.22294685667956</v>
      </c>
      <c r="AD42" s="11" t="n">
        <v>8.01470776928503</v>
      </c>
      <c r="AE42" s="11" t="n">
        <v>7.72031091816046</v>
      </c>
      <c r="AF42" s="11" t="n">
        <v>7.31880276789089</v>
      </c>
      <c r="AG42" s="11" t="n">
        <v>6.95968164395597</v>
      </c>
      <c r="AH42" s="11" t="n">
        <v>6.39537361443029</v>
      </c>
      <c r="AI42" s="11" t="n">
        <v>5.70528179294859</v>
      </c>
      <c r="AJ42" s="11" t="n">
        <v>5.24401579865644</v>
      </c>
      <c r="AK42" s="11" t="n">
        <v>4.85465601130321</v>
      </c>
      <c r="AL42" s="11" t="n">
        <v>4.45096638460075</v>
      </c>
      <c r="AM42" s="11" t="n">
        <v>4.13587946738664</v>
      </c>
      <c r="AN42" s="11" t="n">
        <v>3.91082861365333</v>
      </c>
      <c r="AO42" s="11" t="n">
        <v>3.71356827885798</v>
      </c>
      <c r="AP42" s="11" t="n">
        <v>3.54141578366137</v>
      </c>
      <c r="AQ42" s="11" t="n">
        <v>3.397188073432</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2.83955931184937</v>
      </c>
      <c r="BG42" s="11" t="n">
        <v>2.88285737657756</v>
      </c>
      <c r="BH42" s="11" t="n">
        <v>2.93086885071256</v>
      </c>
      <c r="BI42" s="11" t="n">
        <v>2.97998034582683</v>
      </c>
      <c r="BJ42" s="11" t="n">
        <v>3.02803909746594</v>
      </c>
      <c r="BK42" s="11" t="n">
        <v>3.07319716267257</v>
      </c>
      <c r="BL42" s="11" t="n">
        <v>3.11529035542257</v>
      </c>
      <c r="BM42" s="11" t="n">
        <v>3.15658114223841</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114.013585166926</v>
      </c>
      <c r="AO46" s="11" t="n">
        <v>111.196893492503</v>
      </c>
      <c r="AP46" s="11" t="n">
        <v>108.174096331297</v>
      </c>
      <c r="AQ46" s="11" t="n">
        <v>103.828519218834</v>
      </c>
      <c r="AR46" s="11" t="n">
        <v>98.6482269125957</v>
      </c>
      <c r="AS46" s="11" t="n">
        <v>92.466604630422</v>
      </c>
      <c r="AT46" s="11" t="n">
        <v>86.7944509984983</v>
      </c>
      <c r="AU46" s="11" t="n">
        <v>81.5471892941952</v>
      </c>
      <c r="AV46" s="11" t="n">
        <v>77.0124918021796</v>
      </c>
      <c r="AW46" s="11" t="n">
        <v>72.9661103825358</v>
      </c>
      <c r="AX46" s="11" t="n">
        <v>69.4296838657407</v>
      </c>
      <c r="AY46" s="11" t="n">
        <v>66.2244955251871</v>
      </c>
      <c r="AZ46" s="11" t="n">
        <v>63.3445277023257</v>
      </c>
      <c r="BA46" s="11" t="n">
        <v>60.7979158536905</v>
      </c>
      <c r="BB46" s="11" t="n">
        <v>58.6039771125816</v>
      </c>
      <c r="BC46" s="11" t="n">
        <v>56.6007560481718</v>
      </c>
      <c r="BD46" s="11" t="n">
        <v>54.9295042383707</v>
      </c>
      <c r="BE46" s="11" t="n">
        <v>53.456831575732</v>
      </c>
      <c r="BF46" s="11" t="n">
        <v>52.2872838994718</v>
      </c>
      <c r="BG46" s="11" t="n">
        <v>51.2600973432672</v>
      </c>
      <c r="BH46" s="11" t="n">
        <v>50.3869395631565</v>
      </c>
      <c r="BI46" s="11" t="n">
        <v>49.7075268067788</v>
      </c>
      <c r="BJ46" s="11" t="n">
        <v>49.1163139150381</v>
      </c>
      <c r="BK46" s="11" t="n">
        <v>48.7570764834841</v>
      </c>
      <c r="BL46" s="11" t="n">
        <v>48.3982956594209</v>
      </c>
      <c r="BM46" s="11" t="n">
        <v>48.1108186451461</v>
      </c>
      <c r="BN46" s="11" t="n">
        <v>552.617096500671</v>
      </c>
      <c r="BO46" s="11" t="n">
        <v>463.284991054545</v>
      </c>
      <c r="BP46" s="11" t="n">
        <v>348.977309277969</v>
      </c>
      <c r="BQ46" s="11" t="n">
        <v>284.388984828547</v>
      </c>
    </row>
    <row r="47" customFormat="false" ht="13.8" hidden="false" customHeight="false" outlineLevel="0" collapsed="false">
      <c r="A47" s="11" t="s">
        <v>154</v>
      </c>
      <c r="B47" s="11" t="s">
        <v>146</v>
      </c>
      <c r="C47" s="11" t="s">
        <v>139</v>
      </c>
      <c r="D47" s="12"/>
      <c r="E47" s="11" t="n">
        <v>1.27297720515135</v>
      </c>
      <c r="F47" s="11" t="n">
        <v>1.25061064970842</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0.553564609166542</v>
      </c>
      <c r="R47" s="11" t="n">
        <v>0.490426598642273</v>
      </c>
      <c r="S47" s="11" t="n">
        <v>0.442652781387932</v>
      </c>
      <c r="T47" s="11" t="n">
        <v>0.405383013533054</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0.0747884074140275</v>
      </c>
      <c r="AJ47" s="11" t="n">
        <v>0.0810221488085114</v>
      </c>
      <c r="AK47" s="11" t="n">
        <v>0.0850575444875325</v>
      </c>
      <c r="AL47" s="11" t="n">
        <v>0.0856761920612092</v>
      </c>
      <c r="AM47" s="11" t="n">
        <v>0.0916319440299271</v>
      </c>
      <c r="AN47" s="11" t="n">
        <v>0.0909215250647209</v>
      </c>
      <c r="AO47" s="11" t="n">
        <v>0.0887836966635527</v>
      </c>
      <c r="AP47" s="11" t="n">
        <v>0.0874198179767226</v>
      </c>
      <c r="AQ47" s="11" t="n">
        <v>0.0851246512282482</v>
      </c>
      <c r="AR47" s="11" t="n">
        <v>0.0818511042831976</v>
      </c>
      <c r="AS47" s="11" t="n">
        <v>0.0774977443727539</v>
      </c>
      <c r="AT47" s="11" t="n">
        <v>0.0735843275014692</v>
      </c>
      <c r="AU47" s="11" t="n">
        <v>0.0698378574505318</v>
      </c>
      <c r="AV47" s="11" t="n">
        <v>0.0662749121676701</v>
      </c>
      <c r="AW47" s="11" t="n">
        <v>0.0630074763471738</v>
      </c>
      <c r="AX47" s="11" t="n">
        <v>0.0600124174082342</v>
      </c>
      <c r="AY47" s="11" t="n">
        <v>0.0572421458824033</v>
      </c>
      <c r="AZ47" s="11" t="n">
        <v>0.0547426814646269</v>
      </c>
      <c r="BA47" s="11" t="n">
        <v>0.0525011736010683</v>
      </c>
      <c r="BB47" s="11" t="n">
        <v>0.050436919635144</v>
      </c>
      <c r="BC47" s="11" t="n">
        <v>0.0486200543636496</v>
      </c>
      <c r="BD47" s="11" t="n">
        <v>0.0469370340496264</v>
      </c>
      <c r="BE47" s="11" t="n">
        <v>0.0455851701076493</v>
      </c>
      <c r="BF47" s="11" t="n">
        <v>0.044402853728362</v>
      </c>
      <c r="BG47" s="11" t="n">
        <v>0.0434405412902291</v>
      </c>
      <c r="BH47" s="11" t="n">
        <v>0.0427166450948969</v>
      </c>
      <c r="BI47" s="11" t="n">
        <v>0.0421824746469459</v>
      </c>
      <c r="BJ47" s="11" t="n">
        <v>0.0417177799374489</v>
      </c>
      <c r="BK47" s="11" t="n">
        <v>0.0413820125765451</v>
      </c>
      <c r="BL47" s="11" t="n">
        <v>0.0411534823604556</v>
      </c>
      <c r="BM47" s="11" t="n">
        <v>0.040994972440799</v>
      </c>
      <c r="BN47" s="11" t="n">
        <v>0.444433175796133</v>
      </c>
      <c r="BO47" s="11" t="n">
        <v>0.387895684836201</v>
      </c>
      <c r="BP47" s="11" t="n">
        <v>0.301279633270108</v>
      </c>
      <c r="BQ47" s="11" t="n">
        <v>0.244080351757138</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0.890620745807166</v>
      </c>
      <c r="X48" s="11" t="n">
        <v>0.844914398363468</v>
      </c>
      <c r="Y48" s="11" t="n">
        <v>0.849296904955032</v>
      </c>
      <c r="Z48" s="11" t="n">
        <v>0.862456549136757</v>
      </c>
      <c r="AA48" s="11" t="n">
        <v>0.877239206896131</v>
      </c>
      <c r="AB48" s="11" t="n">
        <v>0.894622354167945</v>
      </c>
      <c r="AC48" s="11" t="n">
        <v>0.934204816450957</v>
      </c>
      <c r="AD48" s="11" t="n">
        <v>0.949799549113104</v>
      </c>
      <c r="AE48" s="11" t="n">
        <v>0.987987362907361</v>
      </c>
      <c r="AF48" s="11" t="n">
        <v>1.00785908615541</v>
      </c>
      <c r="AG48" s="11" t="n">
        <v>1.01707539544984</v>
      </c>
      <c r="AH48" s="11" t="n">
        <v>0.991684737617365</v>
      </c>
      <c r="AI48" s="11" t="n">
        <v>0.871004562768477</v>
      </c>
      <c r="AJ48" s="11" t="n">
        <v>0.922070495488821</v>
      </c>
      <c r="AK48" s="11" t="n">
        <v>0.917810058079545</v>
      </c>
      <c r="AL48" s="11" t="n">
        <v>0.895428540077311</v>
      </c>
      <c r="AM48" s="11" t="n">
        <v>0.962369082226078</v>
      </c>
      <c r="AN48" s="11" t="n">
        <v>0.957857819219185</v>
      </c>
      <c r="AO48" s="11" t="n">
        <v>0.940639138194986</v>
      </c>
      <c r="AP48" s="11" t="n">
        <v>0.921553124346359</v>
      </c>
      <c r="AQ48" s="11" t="n">
        <v>0.897820418111225</v>
      </c>
      <c r="AR48" s="11" t="n">
        <v>0.869462253897718</v>
      </c>
      <c r="AS48" s="11" t="n">
        <v>0.837834460353642</v>
      </c>
      <c r="AT48" s="11" t="n">
        <v>0.810217265106006</v>
      </c>
      <c r="AU48" s="11" t="n">
        <v>0.785220337680204</v>
      </c>
      <c r="AV48" s="11" t="n">
        <v>0.762890971696676</v>
      </c>
      <c r="AW48" s="11" t="n">
        <v>0.744353263881415</v>
      </c>
      <c r="AX48" s="11" t="n">
        <v>0.729142401764429</v>
      </c>
      <c r="AY48" s="11" t="n">
        <v>0.716489752140066</v>
      </c>
      <c r="AZ48" s="11" t="n">
        <v>0.705864222902268</v>
      </c>
      <c r="BA48" s="11" t="n">
        <v>0.697516338977572</v>
      </c>
      <c r="BB48" s="11" t="n">
        <v>0.691019783966288</v>
      </c>
      <c r="BC48" s="11" t="n">
        <v>0.685865778708256</v>
      </c>
      <c r="BD48" s="11" t="n">
        <v>0.680376226799908</v>
      </c>
      <c r="BE48" s="11" t="n">
        <v>0.676472624163847</v>
      </c>
      <c r="BF48" s="11" t="n">
        <v>0.673368253000384</v>
      </c>
      <c r="BG48" s="11" t="n">
        <v>0.671495661058882</v>
      </c>
      <c r="BH48" s="11" t="n">
        <v>0.670479411820506</v>
      </c>
      <c r="BI48" s="11" t="n">
        <v>0.67026999496536</v>
      </c>
      <c r="BJ48" s="11" t="n">
        <v>0.670234040528016</v>
      </c>
      <c r="BK48" s="11" t="n">
        <v>0.671116662283046</v>
      </c>
      <c r="BL48" s="11" t="n">
        <v>0.672803271485063</v>
      </c>
      <c r="BM48" s="11" t="n">
        <v>0.674213296112528</v>
      </c>
      <c r="BN48" s="11" t="n">
        <v>4.67784770406392</v>
      </c>
      <c r="BO48" s="11" t="n">
        <v>4.2005547351488</v>
      </c>
      <c r="BP48" s="11" t="n">
        <v>3.65874061238485</v>
      </c>
      <c r="BQ48" s="11" t="n">
        <v>3.43125075261587</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0.00758704295400535</v>
      </c>
      <c r="I49" s="11" t="n">
        <v>0.0191457948826393</v>
      </c>
      <c r="J49" s="11" t="n">
        <v>0.0440129237321048</v>
      </c>
      <c r="K49" s="11" t="n">
        <v>0.0831984283549992</v>
      </c>
      <c r="L49" s="11" t="n">
        <v>0.134713168733324</v>
      </c>
      <c r="M49" s="11" t="n">
        <v>0.197418800105337</v>
      </c>
      <c r="N49" s="11" t="n">
        <v>0.270937175183438</v>
      </c>
      <c r="O49" s="11" t="n">
        <v>0.35528562086966</v>
      </c>
      <c r="P49" s="11" t="n">
        <v>0.448308759564938</v>
      </c>
      <c r="Q49" s="11" t="n">
        <v>0.546724386901232</v>
      </c>
      <c r="R49" s="11" t="n">
        <v>0.654719622747928</v>
      </c>
      <c r="S49" s="11" t="n">
        <v>0.770609828397742</v>
      </c>
      <c r="T49" s="11" t="n">
        <v>0.892033502650137</v>
      </c>
      <c r="U49" s="11" t="n">
        <v>1.02536768411097</v>
      </c>
      <c r="V49" s="11" t="n">
        <v>1.14915773447392</v>
      </c>
      <c r="W49" s="11" t="n">
        <v>1.26245622236332</v>
      </c>
      <c r="X49" s="11" t="n">
        <v>1.36457098844073</v>
      </c>
      <c r="Y49" s="11" t="n">
        <v>1.46641832911833</v>
      </c>
      <c r="Z49" s="11" t="n">
        <v>1.56361602612155</v>
      </c>
      <c r="AA49" s="11" t="n">
        <v>1.6562995095492</v>
      </c>
      <c r="AB49" s="11" t="n">
        <v>1.74334686161733</v>
      </c>
      <c r="AC49" s="11" t="n">
        <v>1.81859099804214</v>
      </c>
      <c r="AD49" s="11" t="n">
        <v>1.87431155708176</v>
      </c>
      <c r="AE49" s="11" t="n">
        <v>1.90597752814992</v>
      </c>
      <c r="AF49" s="11" t="n">
        <v>1.89620238264926</v>
      </c>
      <c r="AG49" s="11" t="n">
        <v>1.85777666435984</v>
      </c>
      <c r="AH49" s="11" t="n">
        <v>1.80208979252265</v>
      </c>
      <c r="AI49" s="11" t="n">
        <v>1.73121633411536</v>
      </c>
      <c r="AJ49" s="11" t="n">
        <v>1.65076911278086</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0.568631066193109</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37.8563107926445</v>
      </c>
      <c r="AN53" s="11" t="n">
        <v>25.9762967931258</v>
      </c>
      <c r="AO53" s="11" t="n">
        <v>23.5965576806825</v>
      </c>
      <c r="AP53" s="11" t="n">
        <v>21.0523301088152</v>
      </c>
      <c r="AQ53" s="11" t="n">
        <v>20.4258465442797</v>
      </c>
      <c r="AR53" s="11" t="n">
        <v>20.6806449886044</v>
      </c>
      <c r="AS53" s="11" t="n">
        <v>22.659434066861</v>
      </c>
      <c r="AT53" s="11" t="n">
        <v>23.1596676509171</v>
      </c>
      <c r="AU53" s="11" t="n">
        <v>24.1676078563517</v>
      </c>
      <c r="AV53" s="11" t="n">
        <v>25.4100991873618</v>
      </c>
      <c r="AW53" s="11" t="n">
        <v>26.604961129565</v>
      </c>
      <c r="AX53" s="11" t="n">
        <v>27.5687221295285</v>
      </c>
      <c r="AY53" s="11" t="n">
        <v>26.5408168664633</v>
      </c>
      <c r="AZ53" s="11" t="n">
        <v>26.4050638728951</v>
      </c>
      <c r="BA53" s="11" t="n">
        <v>26.4568547220623</v>
      </c>
      <c r="BB53" s="11" t="n">
        <v>26.6267693946302</v>
      </c>
      <c r="BC53" s="11" t="n">
        <v>26.9627232818118</v>
      </c>
      <c r="BD53" s="11" t="n">
        <v>27.9626013217795</v>
      </c>
      <c r="BE53" s="11" t="n">
        <v>29.3353872222689</v>
      </c>
      <c r="BF53" s="11" t="n">
        <v>30.3680076433048</v>
      </c>
      <c r="BG53" s="11" t="n">
        <v>31.4158443487467</v>
      </c>
      <c r="BH53" s="11" t="n">
        <v>31.7608455605636</v>
      </c>
      <c r="BI53" s="11" t="n">
        <v>32.7561234177764</v>
      </c>
      <c r="BJ53" s="11" t="n">
        <v>33.691536366922</v>
      </c>
      <c r="BK53" s="11" t="n">
        <v>35.5703298129592</v>
      </c>
      <c r="BL53" s="11" t="n">
        <v>36.3502994443015</v>
      </c>
      <c r="BM53" s="11" t="n">
        <v>35.7691852402229</v>
      </c>
      <c r="BN53" s="11" t="n">
        <v>151.812396426462</v>
      </c>
      <c r="BO53" s="11" t="n">
        <v>111.093201107014</v>
      </c>
      <c r="BP53" s="11" t="n">
        <v>132.529663185814</v>
      </c>
      <c r="BQ53" s="11" t="n">
        <v>137.344335942553</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0.0709247278374883</v>
      </c>
      <c r="I54" s="11" t="n">
        <v>0.0742130274626892</v>
      </c>
      <c r="J54" s="11" t="n">
        <v>0.0748808413651573</v>
      </c>
      <c r="K54" s="11" t="n">
        <v>0.0758501153320661</v>
      </c>
      <c r="L54" s="11" t="n">
        <v>0.0732454613383986</v>
      </c>
      <c r="M54" s="11" t="n">
        <v>0.0774811747973583</v>
      </c>
      <c r="N54" s="11" t="n">
        <v>0.0793672420704025</v>
      </c>
      <c r="O54" s="11" t="n">
        <v>0.0846894349742251</v>
      </c>
      <c r="P54" s="11" t="n">
        <v>0.0917537201635203</v>
      </c>
      <c r="Q54" s="11" t="n">
        <v>0.0907429907796952</v>
      </c>
      <c r="R54" s="11" t="n">
        <v>0.0941428339572569</v>
      </c>
      <c r="S54" s="11" t="n">
        <v>0.0957489905159301</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0.211350425583012</v>
      </c>
      <c r="AE54" s="11" t="n">
        <v>0.220751805792713</v>
      </c>
      <c r="AF54" s="11" t="n">
        <v>0.222246360185227</v>
      </c>
      <c r="AG54" s="11" t="n">
        <v>0.249516926143695</v>
      </c>
      <c r="AH54" s="11" t="n">
        <v>0.272413021693873</v>
      </c>
      <c r="AI54" s="11" t="n">
        <v>0.274611055142342</v>
      </c>
      <c r="AJ54" s="11" t="n">
        <v>0.29493541718883</v>
      </c>
      <c r="AK54" s="11" t="n">
        <v>0.268806108474927</v>
      </c>
      <c r="AL54" s="11" t="n">
        <v>0.261550530209526</v>
      </c>
      <c r="AM54" s="11" t="n">
        <v>0.37970982641791</v>
      </c>
      <c r="AN54" s="11" t="n">
        <v>0.373108935960128</v>
      </c>
      <c r="AO54" s="11" t="n">
        <v>0.363157911470785</v>
      </c>
      <c r="AP54" s="11" t="n">
        <v>0.33582209111342</v>
      </c>
      <c r="AQ54" s="11" t="n">
        <v>0.24684935528534</v>
      </c>
      <c r="AR54" s="11" t="n">
        <v>0.240515478280531</v>
      </c>
      <c r="AS54" s="11" t="n">
        <v>0.22641870881805</v>
      </c>
      <c r="AT54" s="11" t="n">
        <v>0.224980587578906</v>
      </c>
      <c r="AU54" s="11" t="n">
        <v>0.181420507038002</v>
      </c>
      <c r="AV54" s="11" t="n">
        <v>0.182265443085538</v>
      </c>
      <c r="AW54" s="11" t="n">
        <v>0.182530298491965</v>
      </c>
      <c r="AX54" s="11" t="n">
        <v>0.159291283503516</v>
      </c>
      <c r="AY54" s="11" t="n">
        <v>0.155418489268978</v>
      </c>
      <c r="AZ54" s="11" t="n">
        <v>0.15017572653569</v>
      </c>
      <c r="BA54" s="11" t="n">
        <v>0.152398677567285</v>
      </c>
      <c r="BB54" s="11" t="n">
        <v>0.15290449468432</v>
      </c>
      <c r="BC54" s="11" t="n">
        <v>0.151919858534875</v>
      </c>
      <c r="BD54" s="11" t="n">
        <v>0.147477746003871</v>
      </c>
      <c r="BE54" s="11" t="n">
        <v>0.139608563227355</v>
      </c>
      <c r="BF54" s="11" t="n">
        <v>0.13683275811379</v>
      </c>
      <c r="BG54" s="11" t="n">
        <v>0.137476552138629</v>
      </c>
      <c r="BH54" s="11" t="n">
        <v>0.138244030190202</v>
      </c>
      <c r="BI54" s="11" t="n">
        <v>0.138874626881401</v>
      </c>
      <c r="BJ54" s="11" t="n">
        <v>0.139622949839228</v>
      </c>
      <c r="BK54" s="11" t="n">
        <v>0.140850737406683</v>
      </c>
      <c r="BL54" s="11" t="n">
        <v>0.141679002019245</v>
      </c>
      <c r="BM54" s="11" t="n">
        <v>0.141918494714061</v>
      </c>
      <c r="BN54" s="11" t="n">
        <v>1.71334929517177</v>
      </c>
      <c r="BO54" s="11" t="n">
        <v>1.12018463700083</v>
      </c>
      <c r="BP54" s="11" t="n">
        <v>0.829681240885688</v>
      </c>
      <c r="BQ54" s="11" t="n">
        <v>0.744309340017707</v>
      </c>
    </row>
    <row r="55" customFormat="false" ht="13.8" hidden="false" customHeight="false" outlineLevel="0" collapsed="false">
      <c r="A55" s="11" t="s">
        <v>155</v>
      </c>
      <c r="B55" s="11" t="s">
        <v>147</v>
      </c>
      <c r="C55" s="11" t="s">
        <v>139</v>
      </c>
      <c r="D55" s="12"/>
      <c r="E55" s="11" t="n">
        <v>0.984987691558184</v>
      </c>
      <c r="F55" s="11" t="n">
        <v>0.970048388417934</v>
      </c>
      <c r="G55" s="11" t="n">
        <v>0.910617933265949</v>
      </c>
      <c r="H55" s="11" t="n">
        <v>0.771978697012649</v>
      </c>
      <c r="I55" s="11" t="n">
        <v>0.737321268443208</v>
      </c>
      <c r="J55" s="11" t="n">
        <v>0.709397209019641</v>
      </c>
      <c r="K55" s="11" t="n">
        <v>0.6612887889585</v>
      </c>
      <c r="L55" s="11" t="n">
        <v>0.568914048515287</v>
      </c>
      <c r="M55" s="11" t="n">
        <v>0.586389592586241</v>
      </c>
      <c r="N55" s="11" t="n">
        <v>0.513498687002719</v>
      </c>
      <c r="O55" s="11" t="n">
        <v>0.574804572248271</v>
      </c>
      <c r="P55" s="11" t="n">
        <v>0.632355500344122</v>
      </c>
      <c r="Q55" s="11" t="n">
        <v>0.597481798965218</v>
      </c>
      <c r="R55" s="11" t="n">
        <v>0.652412845375287</v>
      </c>
      <c r="S55" s="11" t="n">
        <v>0.634687425943724</v>
      </c>
      <c r="T55" s="11" t="n">
        <v>0.672744029106066</v>
      </c>
      <c r="U55" s="11" t="n">
        <v>0.726225392133559</v>
      </c>
      <c r="V55" s="11" t="n">
        <v>0.673849210882455</v>
      </c>
      <c r="W55" s="11" t="n">
        <v>0.637459708292023</v>
      </c>
      <c r="X55" s="11" t="n">
        <v>0.548443507955348</v>
      </c>
      <c r="Y55" s="11" t="n">
        <v>0.577056570762781</v>
      </c>
      <c r="Z55" s="11" t="n">
        <v>0.580114063030645</v>
      </c>
      <c r="AA55" s="11" t="n">
        <v>0.739849019698221</v>
      </c>
      <c r="AB55" s="11" t="n">
        <v>0.714748016401048</v>
      </c>
      <c r="AC55" s="11" t="n">
        <v>0.62046564927776</v>
      </c>
      <c r="AD55" s="11" t="n">
        <v>0.568838988121384</v>
      </c>
      <c r="AE55" s="11" t="n">
        <v>0.39786726674901</v>
      </c>
      <c r="AF55" s="11" t="n">
        <v>0.365313374041686</v>
      </c>
      <c r="AG55" s="11" t="n">
        <v>0.377926428764218</v>
      </c>
      <c r="AH55" s="11" t="n">
        <v>0.368168520875392</v>
      </c>
      <c r="AI55" s="11" t="n">
        <v>0.365816544629617</v>
      </c>
      <c r="AJ55" s="11" t="n">
        <v>0.393674218221008</v>
      </c>
      <c r="AK55" s="11" t="n">
        <v>0.35714368175873</v>
      </c>
      <c r="AL55" s="11" t="n">
        <v>0.341045187738303</v>
      </c>
      <c r="AM55" s="11" t="n">
        <v>0.486334882072618</v>
      </c>
      <c r="AN55" s="11" t="n">
        <v>0.469121225898424</v>
      </c>
      <c r="AO55" s="11" t="n">
        <v>0.456946949767372</v>
      </c>
      <c r="AP55" s="11" t="n">
        <v>0.422881801570689</v>
      </c>
      <c r="AQ55" s="11" t="n">
        <v>0.311100244744339</v>
      </c>
      <c r="AR55" s="11" t="n">
        <v>0.302856903392871</v>
      </c>
      <c r="AS55" s="11" t="n">
        <v>0.284799224332671</v>
      </c>
      <c r="AT55" s="11" t="n">
        <v>0.28290503765868</v>
      </c>
      <c r="AU55" s="11" t="n">
        <v>0.227830949075716</v>
      </c>
      <c r="AV55" s="11" t="n">
        <v>0.228673383044793</v>
      </c>
      <c r="AW55" s="11" t="n">
        <v>0.228790820341412</v>
      </c>
      <c r="AX55" s="11" t="n">
        <v>0.199329430455428</v>
      </c>
      <c r="AY55" s="11" t="n">
        <v>0.194600205067086</v>
      </c>
      <c r="AZ55" s="11" t="n">
        <v>0.187996007189946</v>
      </c>
      <c r="BA55" s="11" t="n">
        <v>0.190759826468644</v>
      </c>
      <c r="BB55" s="11" t="n">
        <v>0.191352455815902</v>
      </c>
      <c r="BC55" s="11" t="n">
        <v>0.189996903025252</v>
      </c>
      <c r="BD55" s="11" t="n">
        <v>0.18422612560701</v>
      </c>
      <c r="BE55" s="11" t="n">
        <v>0.17406381683481</v>
      </c>
      <c r="BF55" s="11" t="n">
        <v>0.170351373574087</v>
      </c>
      <c r="BG55" s="11" t="n">
        <v>0.170861341178023</v>
      </c>
      <c r="BH55" s="11" t="n">
        <v>0.171474252926106</v>
      </c>
      <c r="BI55" s="11" t="n">
        <v>0.17212661342408</v>
      </c>
      <c r="BJ55" s="11" t="n">
        <v>0.172905829188632</v>
      </c>
      <c r="BK55" s="11" t="n">
        <v>0.174154655109538</v>
      </c>
      <c r="BL55" s="11" t="n">
        <v>0.174942016679645</v>
      </c>
      <c r="BM55" s="11" t="n">
        <v>0.175165528535873</v>
      </c>
      <c r="BN55" s="11" t="n">
        <v>2.17633004704741</v>
      </c>
      <c r="BO55" s="11" t="n">
        <v>1.40949235920428</v>
      </c>
      <c r="BP55" s="11" t="n">
        <v>1.03938984609866</v>
      </c>
      <c r="BQ55" s="11" t="n">
        <v>0.930399127751618</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25.3507123517956</v>
      </c>
      <c r="AO60" s="11" t="n">
        <v>24.3731263598574</v>
      </c>
      <c r="AP60" s="11" t="n">
        <v>23.7218908278404</v>
      </c>
      <c r="AQ60" s="11" t="n">
        <v>22.8482723994376</v>
      </c>
      <c r="AR60" s="11" t="n">
        <v>21.9842182725776</v>
      </c>
      <c r="AS60" s="11" t="n">
        <v>20.7244701916158</v>
      </c>
      <c r="AT60" s="11" t="n">
        <v>19.4155119201275</v>
      </c>
      <c r="AU60" s="11" t="n">
        <v>18.6566032248008</v>
      </c>
      <c r="AV60" s="11" t="n">
        <v>17.6559193494581</v>
      </c>
      <c r="AW60" s="11" t="n">
        <v>17.2241086154091</v>
      </c>
      <c r="AX60" s="11" t="n">
        <v>16.7959257710967</v>
      </c>
      <c r="AY60" s="11" t="n">
        <v>14.869018877366</v>
      </c>
      <c r="AZ60" s="11" t="n">
        <v>14.4943198639213</v>
      </c>
      <c r="BA60" s="11" t="n">
        <v>13.9589270428762</v>
      </c>
      <c r="BB60" s="11" t="n">
        <v>13.1861881649968</v>
      </c>
      <c r="BC60" s="11" t="n">
        <v>12.8389034935533</v>
      </c>
      <c r="BD60" s="11" t="n">
        <v>11.6364305970214</v>
      </c>
      <c r="BE60" s="11" t="n">
        <v>10.8699952101489</v>
      </c>
      <c r="BF60" s="11" t="n">
        <v>10.5562549035909</v>
      </c>
      <c r="BG60" s="11" t="n">
        <v>10.4844892733951</v>
      </c>
      <c r="BH60" s="11" t="n">
        <v>10.4072737654122</v>
      </c>
      <c r="BI60" s="11" t="n">
        <v>10.3548843152634</v>
      </c>
      <c r="BJ60" s="11" t="n">
        <v>10.2891638732008</v>
      </c>
      <c r="BK60" s="11" t="n">
        <v>10.0166454794811</v>
      </c>
      <c r="BL60" s="11" t="n">
        <v>9.62515828997263</v>
      </c>
      <c r="BM60" s="11" t="n">
        <v>9.45048409892496</v>
      </c>
      <c r="BN60" s="11" t="n">
        <v>124.456590002736</v>
      </c>
      <c r="BO60" s="11" t="n">
        <v>103.629076008559</v>
      </c>
      <c r="BP60" s="11" t="n">
        <v>81.0392924772512</v>
      </c>
      <c r="BQ60" s="11" t="n">
        <v>62.4904445085966</v>
      </c>
    </row>
    <row r="61" customFormat="false" ht="13.8" hidden="false" customHeight="false" outlineLevel="0" collapsed="false">
      <c r="A61" s="11" t="s">
        <v>154</v>
      </c>
      <c r="B61" s="11" t="s">
        <v>148</v>
      </c>
      <c r="C61" s="11" t="s">
        <v>139</v>
      </c>
      <c r="D61" s="12"/>
      <c r="E61" s="11" t="n">
        <v>38.4113671371213</v>
      </c>
      <c r="F61" s="11" t="n">
        <v>38.8552949596067</v>
      </c>
      <c r="G61" s="11" t="n">
        <v>38.5388169594932</v>
      </c>
      <c r="H61" s="11" t="n">
        <v>36.3124596311372</v>
      </c>
      <c r="I61" s="11" t="n">
        <v>28.232131676279</v>
      </c>
      <c r="J61" s="11" t="n">
        <v>29.6414159904183</v>
      </c>
      <c r="K61" s="11" t="n">
        <v>27.8829795223238</v>
      </c>
      <c r="L61" s="11" t="n">
        <v>25.7455049253289</v>
      </c>
      <c r="M61" s="11" t="n">
        <v>23.2122609443943</v>
      </c>
      <c r="N61" s="11" t="n">
        <v>20.3132652404912</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10.4437304627497</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6.1985245851059</v>
      </c>
      <c r="AH61" s="11" t="n">
        <v>6.23642575869865</v>
      </c>
      <c r="AI61" s="11" t="n">
        <v>5.73448917987444</v>
      </c>
      <c r="AJ61" s="11" t="n">
        <v>5.38414606680817</v>
      </c>
      <c r="AK61" s="11" t="n">
        <v>5.0278931495823</v>
      </c>
      <c r="AL61" s="11" t="n">
        <v>4.74375700324067</v>
      </c>
      <c r="AM61" s="11" t="n">
        <v>4.67597743631238</v>
      </c>
      <c r="AN61" s="11" t="n">
        <v>4.61599384643924</v>
      </c>
      <c r="AO61" s="11" t="n">
        <v>4.52092181893738</v>
      </c>
      <c r="AP61" s="11" t="n">
        <v>4.43590110228115</v>
      </c>
      <c r="AQ61" s="11" t="n">
        <v>4.34235989308766</v>
      </c>
      <c r="AR61" s="11" t="n">
        <v>4.27439322609343</v>
      </c>
      <c r="AS61" s="11" t="n">
        <v>4.16862826017068</v>
      </c>
      <c r="AT61" s="11" t="n">
        <v>4.09049377441982</v>
      </c>
      <c r="AU61" s="11" t="n">
        <v>4.00838947111176</v>
      </c>
      <c r="AV61" s="11" t="n">
        <v>3.92714016639479</v>
      </c>
      <c r="AW61" s="11" t="n">
        <v>3.917185630942</v>
      </c>
      <c r="AX61" s="11" t="n">
        <v>3.90910181532842</v>
      </c>
      <c r="AY61" s="11" t="n">
        <v>3.85046853555774</v>
      </c>
      <c r="AZ61" s="11" t="n">
        <v>3.80312615596081</v>
      </c>
      <c r="BA61" s="11" t="n">
        <v>3.79939988219848</v>
      </c>
      <c r="BB61" s="11" t="n">
        <v>3.781282395243</v>
      </c>
      <c r="BC61" s="11" t="n">
        <v>3.77407353780894</v>
      </c>
      <c r="BD61" s="11" t="n">
        <v>3.71332630330365</v>
      </c>
      <c r="BE61" s="11" t="n">
        <v>3.67515977013151</v>
      </c>
      <c r="BF61" s="11" t="n">
        <v>3.66739474864719</v>
      </c>
      <c r="BG61" s="11" t="n">
        <v>3.66380132011124</v>
      </c>
      <c r="BH61" s="11" t="n">
        <v>3.65956643428234</v>
      </c>
      <c r="BI61" s="11" t="n">
        <v>3.6566441615566</v>
      </c>
      <c r="BJ61" s="11" t="n">
        <v>3.64489422900944</v>
      </c>
      <c r="BK61" s="11" t="n">
        <v>3.63182324623229</v>
      </c>
      <c r="BL61" s="11" t="n">
        <v>3.61824948881566</v>
      </c>
      <c r="BM61" s="11" t="n">
        <v>3.6115707479249</v>
      </c>
      <c r="BN61" s="11" t="n">
        <v>22.9925512072108</v>
      </c>
      <c r="BO61" s="11" t="n">
        <v>20.8842646248833</v>
      </c>
      <c r="BP61" s="11" t="n">
        <v>19.4070223041838</v>
      </c>
      <c r="BQ61" s="11" t="n">
        <v>18.7432418886856</v>
      </c>
    </row>
    <row r="62" customFormat="false" ht="13.8" hidden="false" customHeight="false" outlineLevel="0" collapsed="false">
      <c r="A62" s="11" t="s">
        <v>155</v>
      </c>
      <c r="B62" s="11" t="s">
        <v>148</v>
      </c>
      <c r="C62" s="11" t="s">
        <v>139</v>
      </c>
      <c r="D62" s="12"/>
      <c r="E62" s="11" t="n">
        <v>0.327529834632892</v>
      </c>
      <c r="F62" s="11" t="n">
        <v>0.328440613603457</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v>
      </c>
      <c r="W62" s="11" t="n">
        <v>0.379880436716057</v>
      </c>
      <c r="X62" s="11" t="n">
        <v>0.37277068789526</v>
      </c>
      <c r="Y62" s="11" t="n">
        <v>0.365140849631604</v>
      </c>
      <c r="Z62" s="11" t="n">
        <v>0.342415857790606</v>
      </c>
      <c r="AA62" s="11" t="n">
        <v>0.315708552441489</v>
      </c>
      <c r="AB62" s="11" t="n">
        <v>0.305020823964381</v>
      </c>
      <c r="AC62" s="11" t="n">
        <v>0.299790969640709</v>
      </c>
      <c r="AD62" s="11" t="n">
        <v>0.320768095937011</v>
      </c>
      <c r="AE62" s="11" t="n">
        <v>0.322075958204864</v>
      </c>
      <c r="AF62" s="11" t="n">
        <v>0.311959670394575</v>
      </c>
      <c r="AG62" s="11" t="n">
        <v>0.309251429820355</v>
      </c>
      <c r="AH62" s="11" t="n">
        <v>0.315565079233617</v>
      </c>
      <c r="AI62" s="11" t="n">
        <v>0.301940140392352</v>
      </c>
      <c r="AJ62" s="11" t="n">
        <v>0.258278891681824</v>
      </c>
      <c r="AK62" s="11" t="n">
        <v>0.242181704439128</v>
      </c>
      <c r="AL62" s="11" t="n">
        <v>0.236275707145654</v>
      </c>
      <c r="AM62" s="11" t="n">
        <v>0.308341110741022</v>
      </c>
      <c r="AN62" s="11" t="n">
        <v>0.290665120136394</v>
      </c>
      <c r="AO62" s="11" t="n">
        <v>0.282061172291136</v>
      </c>
      <c r="AP62" s="11" t="n">
        <v>0.270579404253819</v>
      </c>
      <c r="AQ62" s="11" t="n">
        <v>0.26298589700699</v>
      </c>
      <c r="AR62" s="11" t="n">
        <v>0.25278313353808</v>
      </c>
      <c r="AS62" s="11" t="n">
        <v>0.242934198450907</v>
      </c>
      <c r="AT62" s="11" t="n">
        <v>0.229910326101697</v>
      </c>
      <c r="AU62" s="11" t="n">
        <v>0.212684219322213</v>
      </c>
      <c r="AV62" s="11" t="n">
        <v>0.195048137469426</v>
      </c>
      <c r="AW62" s="11" t="n">
        <v>0.193330091664808</v>
      </c>
      <c r="AX62" s="11" t="n">
        <v>0.190753299801796</v>
      </c>
      <c r="AY62" s="11" t="n">
        <v>0.170380985658528</v>
      </c>
      <c r="AZ62" s="11" t="n">
        <v>0.0752682122441476</v>
      </c>
      <c r="BA62" s="11" t="n">
        <v>0.0749941117637408</v>
      </c>
      <c r="BB62" s="11" t="n">
        <v>0.0660258520391477</v>
      </c>
      <c r="BC62" s="11" t="n">
        <v>0.065557417840247</v>
      </c>
      <c r="BD62" s="11" t="n">
        <v>0.0447098195556462</v>
      </c>
      <c r="BE62" s="11" t="n">
        <v>0.0349737168700655</v>
      </c>
      <c r="BF62" s="11" t="n">
        <v>0.0349044566458242</v>
      </c>
      <c r="BG62" s="11" t="n">
        <v>0.0347873428860072</v>
      </c>
      <c r="BH62" s="11" t="n">
        <v>0.0311417376124774</v>
      </c>
      <c r="BI62" s="11" t="n">
        <v>0.031242644970407</v>
      </c>
      <c r="BJ62" s="11" t="n">
        <v>0.0301833070651793</v>
      </c>
      <c r="BK62" s="11" t="n">
        <v>0.0244228762957984</v>
      </c>
      <c r="BL62" s="11" t="n">
        <v>0.0197787030122494</v>
      </c>
      <c r="BM62" s="11" t="n">
        <v>0.0171499472090469</v>
      </c>
      <c r="BN62" s="11" t="n">
        <v>1.38792251456802</v>
      </c>
      <c r="BO62" s="11" t="n">
        <v>1.20129777441989</v>
      </c>
      <c r="BP62" s="11" t="n">
        <v>0.824780726838704</v>
      </c>
      <c r="BQ62" s="11" t="n">
        <v>0.286260918068847</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42.2288913520804</v>
      </c>
      <c r="AO67" s="11" t="n">
        <v>41.6582474687507</v>
      </c>
      <c r="AP67" s="11" t="n">
        <v>41.4232899594643</v>
      </c>
      <c r="AQ67" s="11" t="n">
        <v>40.428974420412</v>
      </c>
      <c r="AR67" s="11" t="n">
        <v>40.6130050704505</v>
      </c>
      <c r="AS67" s="11" t="n">
        <v>39.5535571668619</v>
      </c>
      <c r="AT67" s="11" t="n">
        <v>39.4165234195861</v>
      </c>
      <c r="AU67" s="11" t="n">
        <v>39.0050466639079</v>
      </c>
      <c r="AV67" s="11" t="n">
        <v>38.2595859389943</v>
      </c>
      <c r="AW67" s="11" t="n">
        <v>37.6915756059216</v>
      </c>
      <c r="AX67" s="11" t="n">
        <v>37.4278423589332</v>
      </c>
      <c r="AY67" s="11" t="n">
        <v>36.7755920432489</v>
      </c>
      <c r="AZ67" s="11" t="n">
        <v>35.9678824020047</v>
      </c>
      <c r="BA67" s="11" t="n">
        <v>35.732666282829</v>
      </c>
      <c r="BB67" s="11" t="n">
        <v>35.6908669257692</v>
      </c>
      <c r="BC67" s="11" t="n">
        <v>35.3488661779356</v>
      </c>
      <c r="BD67" s="11" t="n">
        <v>35.7541524824524</v>
      </c>
      <c r="BE67" s="11" t="n">
        <v>36.2089587868169</v>
      </c>
      <c r="BF67" s="11" t="n">
        <v>36.0781978536959</v>
      </c>
      <c r="BG67" s="11" t="n">
        <v>35.7271440219095</v>
      </c>
      <c r="BH67" s="11" t="n">
        <v>35.2242896710436</v>
      </c>
      <c r="BI67" s="11" t="n">
        <v>34.6967217678238</v>
      </c>
      <c r="BJ67" s="11" t="n">
        <v>33.9596535751237</v>
      </c>
      <c r="BK67" s="11" t="n">
        <v>34.087836419241</v>
      </c>
      <c r="BL67" s="11" t="n">
        <v>32.9612599942669</v>
      </c>
      <c r="BM67" s="11" t="n">
        <v>32.3767773514855</v>
      </c>
      <c r="BN67" s="11" t="n">
        <v>206.373728403419</v>
      </c>
      <c r="BO67" s="11" t="n">
        <v>199.017106741218</v>
      </c>
      <c r="BP67" s="11" t="n">
        <v>186.122478349103</v>
      </c>
      <c r="BQ67" s="11" t="n">
        <v>178.735510655803</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0.00474313405100598</v>
      </c>
      <c r="AO68" s="11" t="n">
        <v>0.00468237408964354</v>
      </c>
      <c r="AP68" s="11" t="n">
        <v>0.00464198352258129</v>
      </c>
      <c r="AQ68" s="11" t="n">
        <v>0.00454841862706195</v>
      </c>
      <c r="AR68" s="11" t="n">
        <v>0.00454334850115866</v>
      </c>
      <c r="AS68" s="11" t="n">
        <v>0.00444656194715972</v>
      </c>
      <c r="AT68" s="11" t="n">
        <v>0.00441837388034424</v>
      </c>
      <c r="AU68" s="11" t="n">
        <v>0.00437242616527579</v>
      </c>
      <c r="AV68" s="11" t="n">
        <v>0.00429988208804089</v>
      </c>
      <c r="AW68" s="11" t="n">
        <v>0.00424013386387575</v>
      </c>
      <c r="AX68" s="11" t="n">
        <v>0.00420792380633879</v>
      </c>
      <c r="AY68" s="11" t="n">
        <v>0.00415253786962033</v>
      </c>
      <c r="AZ68" s="11" t="n">
        <v>0.00408610439703055</v>
      </c>
      <c r="BA68" s="11" t="n">
        <v>0.00405500587984715</v>
      </c>
      <c r="BB68" s="11" t="n">
        <v>0.00404147794685424</v>
      </c>
      <c r="BC68" s="11" t="n">
        <v>0.0040018981204286</v>
      </c>
      <c r="BD68" s="11" t="n">
        <v>0.00401435383213797</v>
      </c>
      <c r="BE68" s="11" t="n">
        <v>0.00402860776784216</v>
      </c>
      <c r="BF68" s="11" t="n">
        <v>0.00395021096012306</v>
      </c>
      <c r="BG68" s="11" t="n">
        <v>0.0038514806103857</v>
      </c>
      <c r="BH68" s="11" t="n">
        <v>0.00374197641188411</v>
      </c>
      <c r="BI68" s="11" t="n">
        <v>0.00363178189451502</v>
      </c>
      <c r="BJ68" s="11" t="n">
        <v>0.00350611892215544</v>
      </c>
      <c r="BK68" s="11" t="n">
        <v>0.00344429576028333</v>
      </c>
      <c r="BL68" s="11" t="n">
        <v>0.00329509366200942</v>
      </c>
      <c r="BM68" s="11" t="n">
        <v>0.00318908124334813</v>
      </c>
      <c r="BN68" s="11" t="n">
        <v>0.0234325278323243</v>
      </c>
      <c r="BO68" s="11" t="n">
        <v>0.0223291291210004</v>
      </c>
      <c r="BP68" s="11" t="n">
        <v>0.0209865820249063</v>
      </c>
      <c r="BQ68" s="11" t="n">
        <v>0.0201413435471101</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0.380232744530223</v>
      </c>
      <c r="AO69" s="11" t="n">
        <v>0.375137780513571</v>
      </c>
      <c r="AP69" s="11" t="n">
        <v>0.372840972742352</v>
      </c>
      <c r="AQ69" s="11" t="n">
        <v>0.364122576331786</v>
      </c>
      <c r="AR69" s="11" t="n">
        <v>0.365446402462045</v>
      </c>
      <c r="AS69" s="11" t="n">
        <v>0.356194543926753</v>
      </c>
      <c r="AT69" s="11" t="n">
        <v>0.3547950326072</v>
      </c>
      <c r="AU69" s="11" t="n">
        <v>0.351093543628337</v>
      </c>
      <c r="AV69" s="11" t="n">
        <v>0.34452614535458</v>
      </c>
      <c r="AW69" s="11" t="n">
        <v>0.339464161686419</v>
      </c>
      <c r="AX69" s="11" t="n">
        <v>0.337055987531886</v>
      </c>
      <c r="AY69" s="11" t="n">
        <v>0.331414448675482</v>
      </c>
      <c r="AZ69" s="11" t="n">
        <v>0.324456162392182</v>
      </c>
      <c r="BA69" s="11" t="n">
        <v>0.32227768520112</v>
      </c>
      <c r="BB69" s="11" t="n">
        <v>0.321786978608835</v>
      </c>
      <c r="BC69" s="11" t="n">
        <v>0.318692473994207</v>
      </c>
      <c r="BD69" s="11" t="n">
        <v>0.321913679084962</v>
      </c>
      <c r="BE69" s="11" t="n">
        <v>0.325532044746</v>
      </c>
      <c r="BF69" s="11" t="n">
        <v>0.32352995522848</v>
      </c>
      <c r="BG69" s="11" t="n">
        <v>0.319601410704722</v>
      </c>
      <c r="BH69" s="11" t="n">
        <v>0.314387286070074</v>
      </c>
      <c r="BI69" s="11" t="n">
        <v>0.308977634607737</v>
      </c>
      <c r="BJ69" s="11" t="n">
        <v>0.301785991133984</v>
      </c>
      <c r="BK69" s="11" t="n">
        <v>0.301953505390816</v>
      </c>
      <c r="BL69" s="11" t="n">
        <v>0.291516311656666</v>
      </c>
      <c r="BM69" s="11" t="n">
        <v>0.285731081979633</v>
      </c>
      <c r="BN69" s="11" t="n">
        <v>1.86147884187647</v>
      </c>
      <c r="BO69" s="11" t="n">
        <v>1.79165209895612</v>
      </c>
      <c r="BP69" s="11" t="n">
        <v>1.67691690564055</v>
      </c>
      <c r="BQ69" s="11" t="n">
        <v>1.61020286163512</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41.8267072065194</v>
      </c>
      <c r="AN74" s="11" t="n">
        <v>39.4976352582319</v>
      </c>
      <c r="AO74" s="11" t="n">
        <v>38.767767232957</v>
      </c>
      <c r="AP74" s="11" t="n">
        <v>38.7042655053157</v>
      </c>
      <c r="AQ74" s="11" t="n">
        <v>38.6083369605943</v>
      </c>
      <c r="AR74" s="11" t="n">
        <v>38.5161925135046</v>
      </c>
      <c r="AS74" s="11" t="n">
        <v>38.5649996416163</v>
      </c>
      <c r="AT74" s="11" t="n">
        <v>38.5319044053104</v>
      </c>
      <c r="AU74" s="11" t="n">
        <v>38.6689395778508</v>
      </c>
      <c r="AV74" s="11" t="n">
        <v>38.8435627959214</v>
      </c>
      <c r="AW74" s="11" t="n">
        <v>38.6994215953304</v>
      </c>
      <c r="AX74" s="11" t="n">
        <v>38.6791493621836</v>
      </c>
      <c r="AY74" s="11" t="n">
        <v>38.7035800333177</v>
      </c>
      <c r="AZ74" s="11" t="n">
        <v>38.9762214710608</v>
      </c>
      <c r="BA74" s="11" t="n">
        <v>39.1186594335125</v>
      </c>
      <c r="BB74" s="11" t="n">
        <v>39.2706784611809</v>
      </c>
      <c r="BC74" s="11" t="n">
        <v>39.8605452618143</v>
      </c>
      <c r="BD74" s="11" t="n">
        <v>40.6664607438151</v>
      </c>
      <c r="BE74" s="11" t="n">
        <v>40.9315400163645</v>
      </c>
      <c r="BF74" s="11" t="n">
        <v>41.2739120968037</v>
      </c>
      <c r="BG74" s="11" t="n">
        <v>41.5096137493525</v>
      </c>
      <c r="BH74" s="11" t="n">
        <v>41.9169630172466</v>
      </c>
      <c r="BI74" s="11" t="n">
        <v>42.3926619558612</v>
      </c>
      <c r="BJ74" s="11" t="n">
        <v>42.8121859293537</v>
      </c>
      <c r="BK74" s="11" t="n">
        <v>43.2183428492714</v>
      </c>
      <c r="BL74" s="11" t="n">
        <v>43.6479794177317</v>
      </c>
      <c r="BM74" s="11" t="n">
        <v>44.0457700181558</v>
      </c>
      <c r="BN74" s="11" t="n">
        <v>210.341520628984</v>
      </c>
      <c r="BO74" s="11" t="n">
        <v>192.890373098876</v>
      </c>
      <c r="BP74" s="11" t="n">
        <v>193.901935257814</v>
      </c>
      <c r="BQ74" s="11" t="n">
        <v>199.847883916687</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0.124219774039943</v>
      </c>
      <c r="AN75" s="11" t="n">
        <v>0.121681975151853</v>
      </c>
      <c r="AO75" s="11" t="n">
        <v>0.121468509690452</v>
      </c>
      <c r="AP75" s="11" t="n">
        <v>0.121142338367728</v>
      </c>
      <c r="AQ75" s="11" t="n">
        <v>0.121786413614067</v>
      </c>
      <c r="AR75" s="11" t="n">
        <v>0.121770712131146</v>
      </c>
      <c r="AS75" s="11" t="n">
        <v>0.12172847849578</v>
      </c>
      <c r="AT75" s="11" t="n">
        <v>0.122225786628828</v>
      </c>
      <c r="AU75" s="11" t="n">
        <v>0.122294159719065</v>
      </c>
      <c r="AV75" s="11" t="n">
        <v>0.121625333599865</v>
      </c>
      <c r="AW75" s="11" t="n">
        <v>0.119906431534671</v>
      </c>
      <c r="AX75" s="11" t="n">
        <v>0.116650710876325</v>
      </c>
      <c r="AY75" s="11" t="n">
        <v>0.113415026643772</v>
      </c>
      <c r="AZ75" s="11" t="n">
        <v>0.108495922338935</v>
      </c>
      <c r="BA75" s="11" t="n">
        <v>0.105492007209624</v>
      </c>
      <c r="BB75" s="11" t="n">
        <v>0.104565775790184</v>
      </c>
      <c r="BC75" s="11" t="n">
        <v>0.105203849244693</v>
      </c>
      <c r="BD75" s="11" t="n">
        <v>0.105590863922975</v>
      </c>
      <c r="BE75" s="11" t="n">
        <v>0.105465694789462</v>
      </c>
      <c r="BF75" s="11" t="n">
        <v>0.106644464118157</v>
      </c>
      <c r="BG75" s="11" t="n">
        <v>0.107768863885488</v>
      </c>
      <c r="BH75" s="11" t="n">
        <v>0.108789683608899</v>
      </c>
      <c r="BI75" s="11" t="n">
        <v>0.109709336854588</v>
      </c>
      <c r="BJ75" s="11" t="n">
        <v>0.110547899045828</v>
      </c>
      <c r="BK75" s="11" t="n">
        <v>0.111543325894635</v>
      </c>
      <c r="BL75" s="11" t="n">
        <v>0.112828342801829</v>
      </c>
      <c r="BM75" s="11" t="n">
        <v>0.11413489715525</v>
      </c>
      <c r="BN75" s="11" t="n">
        <v>0.625114866448588</v>
      </c>
      <c r="BO75" s="11" t="n">
        <v>0.609805550588885</v>
      </c>
      <c r="BP75" s="11" t="n">
        <v>0.580093424993568</v>
      </c>
      <c r="BQ75" s="11" t="n">
        <v>0.526318190956939</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4.86435115055119</v>
      </c>
      <c r="O76" s="11" t="n">
        <v>5.03119711253612</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0.482486962557309</v>
      </c>
      <c r="AB76" s="11" t="n">
        <v>0.429079725761066</v>
      </c>
      <c r="AC76" s="11" t="n">
        <v>0.460815168912919</v>
      </c>
      <c r="AD76" s="11" t="n">
        <v>0.418050736965471</v>
      </c>
      <c r="AE76" s="11" t="n">
        <v>0.386513048337779</v>
      </c>
      <c r="AF76" s="11" t="n">
        <v>0.412200815328678</v>
      </c>
      <c r="AG76" s="11" t="n">
        <v>0.429228078343805</v>
      </c>
      <c r="AH76" s="11" t="n">
        <v>0.415869088543474</v>
      </c>
      <c r="AI76" s="11" t="n">
        <v>0.341792392713469</v>
      </c>
      <c r="AJ76" s="11" t="n">
        <v>0.338920120245381</v>
      </c>
      <c r="AK76" s="11" t="n">
        <v>0.304056990866258</v>
      </c>
      <c r="AL76" s="11" t="n">
        <v>0.320998168689842</v>
      </c>
      <c r="AM76" s="11" t="n">
        <v>0.308762907490412</v>
      </c>
      <c r="AN76" s="11" t="n">
        <v>0.308003123761649</v>
      </c>
      <c r="AO76" s="11" t="n">
        <v>0.308420632637171</v>
      </c>
      <c r="AP76" s="11" t="n">
        <v>0.308861025224972</v>
      </c>
      <c r="AQ76" s="11" t="n">
        <v>0.310131853796357</v>
      </c>
      <c r="AR76" s="11" t="n">
        <v>0.311866722806494</v>
      </c>
      <c r="AS76" s="11" t="n">
        <v>0.314188577863438</v>
      </c>
      <c r="AT76" s="11" t="n">
        <v>0.315728600300405</v>
      </c>
      <c r="AU76" s="11" t="n">
        <v>0.316666187128235</v>
      </c>
      <c r="AV76" s="11" t="n">
        <v>0.316702021608411</v>
      </c>
      <c r="AW76" s="11" t="n">
        <v>0.315988924493745</v>
      </c>
      <c r="AX76" s="11" t="n">
        <v>0.313425528456895</v>
      </c>
      <c r="AY76" s="11" t="n">
        <v>0.310308507841099</v>
      </c>
      <c r="AZ76" s="11" t="n">
        <v>0.306290202950226</v>
      </c>
      <c r="BA76" s="11" t="n">
        <v>0.305507465573975</v>
      </c>
      <c r="BB76" s="11" t="n">
        <v>0.307782502847595</v>
      </c>
      <c r="BC76" s="11" t="n">
        <v>0.310727096399497</v>
      </c>
      <c r="BD76" s="11" t="n">
        <v>0.313536540625992</v>
      </c>
      <c r="BE76" s="11" t="n">
        <v>0.315634927488789</v>
      </c>
      <c r="BF76" s="11" t="n">
        <v>0.319374366800042</v>
      </c>
      <c r="BG76" s="11" t="n">
        <v>0.323080543063176</v>
      </c>
      <c r="BH76" s="11" t="n">
        <v>0.326642542603797</v>
      </c>
      <c r="BI76" s="11" t="n">
        <v>0.330588389220016</v>
      </c>
      <c r="BJ76" s="11" t="n">
        <v>0.334463403514353</v>
      </c>
      <c r="BK76" s="11" t="n">
        <v>0.338532882295834</v>
      </c>
      <c r="BL76" s="11" t="n">
        <v>0.342995436194843</v>
      </c>
      <c r="BM76" s="11" t="n">
        <v>0.347484718917317</v>
      </c>
      <c r="BN76" s="11" t="n">
        <v>1.55504585780405</v>
      </c>
      <c r="BO76" s="11" t="n">
        <v>1.56858194189493</v>
      </c>
      <c r="BP76" s="11" t="n">
        <v>1.56271518535038</v>
      </c>
      <c r="BQ76" s="11" t="n">
        <v>1.55318853293585</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14.0785716356003</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2.69499743669116</v>
      </c>
      <c r="S77" s="11" t="n">
        <v>1.12703958186289</v>
      </c>
      <c r="T77" s="11" t="n">
        <v>1.17738858479048</v>
      </c>
      <c r="U77" s="11" t="n">
        <v>1.18654379751043</v>
      </c>
      <c r="V77" s="11" t="n">
        <v>0.998444187189309</v>
      </c>
      <c r="W77" s="11" t="n">
        <v>0.98434467653681</v>
      </c>
      <c r="X77" s="11" t="n">
        <v>0.986717488794266</v>
      </c>
      <c r="Y77" s="11" t="n">
        <v>1.04360027741906</v>
      </c>
      <c r="Z77" s="11" t="n">
        <v>1.12555768771586</v>
      </c>
      <c r="AA77" s="11" t="n">
        <v>1.18240823535114</v>
      </c>
      <c r="AB77" s="11" t="n">
        <v>1.19754396726382</v>
      </c>
      <c r="AC77" s="11" t="n">
        <v>1.09407297472769</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0.482864113787379</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0.186590750928914</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0.0919996124852703</v>
      </c>
      <c r="BH77" s="11" t="n">
        <v>0.0844347772643882</v>
      </c>
      <c r="BI77" s="11" t="n">
        <v>0.0775333629874345</v>
      </c>
      <c r="BJ77" s="11" t="n">
        <v>0.0713179532877864</v>
      </c>
      <c r="BK77" s="11" t="n">
        <v>0.0658073414465578</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1.48366130882975</v>
      </c>
      <c r="F78" s="11" t="n">
        <v>1.24305334298279</v>
      </c>
      <c r="G78" s="11" t="n">
        <v>0.617640551647897</v>
      </c>
      <c r="H78" s="11" t="n">
        <v>0.538700846476154</v>
      </c>
      <c r="I78" s="11" t="n">
        <v>0.546409279966551</v>
      </c>
      <c r="J78" s="11" t="n">
        <v>0.532812121772292</v>
      </c>
      <c r="K78" s="11" t="n">
        <v>0.530646387885412</v>
      </c>
      <c r="L78" s="11" t="n">
        <v>0.44445268402011</v>
      </c>
      <c r="M78" s="11" t="n">
        <v>0.43171766732139</v>
      </c>
      <c r="N78" s="11" t="n">
        <v>0.407642882276656</v>
      </c>
      <c r="O78" s="11" t="n">
        <v>0.51344845306472</v>
      </c>
      <c r="P78" s="11" t="n">
        <v>0.426851949457178</v>
      </c>
      <c r="Q78" s="11" t="n">
        <v>0.358954196446408</v>
      </c>
      <c r="R78" s="11" t="n">
        <v>0.313808976049458</v>
      </c>
      <c r="S78" s="11" t="n">
        <v>0.398856113928176</v>
      </c>
      <c r="T78" s="11" t="n">
        <v>0.365128105171605</v>
      </c>
      <c r="U78" s="11" t="n">
        <v>0.367555231485997</v>
      </c>
      <c r="V78" s="11" t="n">
        <v>0.276529099776064</v>
      </c>
      <c r="W78" s="11" t="n">
        <v>0.254880819288731</v>
      </c>
      <c r="X78" s="11" t="n">
        <v>0.19500676652889</v>
      </c>
      <c r="Y78" s="11" t="n">
        <v>0.281496039558142</v>
      </c>
      <c r="Z78" s="11" t="n">
        <v>0.399303588048535</v>
      </c>
      <c r="AA78" s="11" t="n">
        <v>0.243138181819986</v>
      </c>
      <c r="AB78" s="11" t="n">
        <v>0.294217429839836</v>
      </c>
      <c r="AC78" s="11" t="n">
        <v>0.23782779605641</v>
      </c>
      <c r="AD78" s="11" t="n">
        <v>0.274427975434271</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0.145322964863699</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0.788373788456026</v>
      </c>
      <c r="BP78" s="11" t="n">
        <v>0.788373788456026</v>
      </c>
      <c r="BQ78" s="11" t="n">
        <v>0.788373788456026</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0.426418736992623</v>
      </c>
      <c r="AE79" s="11" t="n">
        <v>0.458386532676318</v>
      </c>
      <c r="AF79" s="11" t="n">
        <v>0.460093295564997</v>
      </c>
      <c r="AG79" s="11" t="n">
        <v>0.565037427403676</v>
      </c>
      <c r="AH79" s="11" t="n">
        <v>0.49719676355469</v>
      </c>
      <c r="AI79" s="11" t="n">
        <v>0.425406162786779</v>
      </c>
      <c r="AJ79" s="11" t="n">
        <v>0.38749956929647</v>
      </c>
      <c r="AK79" s="11" t="n">
        <v>0.333442729385777</v>
      </c>
      <c r="AL79" s="11" t="n">
        <v>0.301791676439176</v>
      </c>
      <c r="AM79" s="11" t="n">
        <v>0.307854862676676</v>
      </c>
      <c r="AN79" s="11" t="n">
        <v>0.314290204270113</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0.372815184884234</v>
      </c>
      <c r="AW79" s="11" t="n">
        <v>0.380977508595361</v>
      </c>
      <c r="AX79" s="11" t="n">
        <v>0.389343890399265</v>
      </c>
      <c r="AY79" s="11" t="n">
        <v>0.389343890399265</v>
      </c>
      <c r="AZ79" s="11" t="n">
        <v>0.389343890399265</v>
      </c>
      <c r="BA79" s="11" t="n">
        <v>0.389343890399265</v>
      </c>
      <c r="BB79" s="11" t="n">
        <v>0.389343890399265</v>
      </c>
      <c r="BC79" s="11" t="n">
        <v>0.389343890399265</v>
      </c>
      <c r="BD79" s="11" t="n">
        <v>0.389343890399265</v>
      </c>
      <c r="BE79" s="11" t="n">
        <v>0.389343890399265</v>
      </c>
      <c r="BF79" s="11" t="n">
        <v>0.389343890399265</v>
      </c>
      <c r="BG79" s="11" t="n">
        <v>0.389343890399265</v>
      </c>
      <c r="BH79" s="11" t="n">
        <v>0.389343890399265</v>
      </c>
      <c r="BI79" s="11" t="n">
        <v>0.389343890399265</v>
      </c>
      <c r="BJ79" s="11" t="n">
        <v>0.389343890399265</v>
      </c>
      <c r="BK79" s="11" t="n">
        <v>0.389343890399265</v>
      </c>
      <c r="BL79" s="11" t="n">
        <v>0.389343890399265</v>
      </c>
      <c r="BM79" s="11" t="n">
        <v>0.389343890399265</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5.55186504357902</v>
      </c>
      <c r="H82" s="11" t="n">
        <v>5.54746647872344</v>
      </c>
      <c r="I82" s="11" t="n">
        <v>5.53902951394119</v>
      </c>
      <c r="J82" s="11" t="n">
        <v>5.54965155198649</v>
      </c>
      <c r="K82" s="11" t="n">
        <v>5.53405930164697</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5.57797283010562</v>
      </c>
      <c r="X82" s="11" t="n">
        <v>5.57878522339053</v>
      </c>
      <c r="Y82" s="11" t="n">
        <v>5.60501096444991</v>
      </c>
      <c r="Z82" s="11" t="n">
        <v>5.62372281146323</v>
      </c>
      <c r="AA82" s="11" t="n">
        <v>5.61193731105979</v>
      </c>
      <c r="AB82" s="11" t="n">
        <v>5.62617031143543</v>
      </c>
      <c r="AC82" s="11" t="n">
        <v>5.60602836886574</v>
      </c>
      <c r="AD82" s="11" t="n">
        <v>5.62278898771431</v>
      </c>
      <c r="AE82" s="11" t="n">
        <v>5.64143854355453</v>
      </c>
      <c r="AF82" s="11" t="n">
        <v>5.63907784389892</v>
      </c>
      <c r="AG82" s="11" t="n">
        <v>5.69160270708721</v>
      </c>
      <c r="AH82" s="11" t="n">
        <v>5.70956542589149</v>
      </c>
      <c r="AI82" s="11" t="n">
        <v>5.68909600002544</v>
      </c>
      <c r="AJ82" s="11" t="n">
        <v>5.69657165648638</v>
      </c>
      <c r="AK82" s="11" t="n">
        <v>5.71939302059153</v>
      </c>
      <c r="AL82" s="11" t="n">
        <v>5.75129142539663</v>
      </c>
      <c r="AM82" s="11" t="n">
        <v>5.77843961940047</v>
      </c>
      <c r="AN82" s="11" t="n">
        <v>5.82893431121417</v>
      </c>
      <c r="AO82" s="11" t="n">
        <v>5.87516461238546</v>
      </c>
      <c r="AP82" s="11" t="n">
        <v>5.92092678246998</v>
      </c>
      <c r="AQ82" s="11" t="n">
        <v>5.96055627423853</v>
      </c>
      <c r="AR82" s="11" t="n">
        <v>6.00469813847712</v>
      </c>
      <c r="AS82" s="11" t="n">
        <v>6.04871755683646</v>
      </c>
      <c r="AT82" s="11" t="n">
        <v>6.05489975770093</v>
      </c>
      <c r="AU82" s="11" t="n">
        <v>6.05930697368643</v>
      </c>
      <c r="AV82" s="11" t="n">
        <v>6.05892463983378</v>
      </c>
      <c r="AW82" s="11" t="n">
        <v>6.05840612219305</v>
      </c>
      <c r="AX82" s="11" t="n">
        <v>6.05759619889438</v>
      </c>
      <c r="AY82" s="11" t="n">
        <v>6.05669382061206</v>
      </c>
      <c r="AZ82" s="11" t="n">
        <v>6.05564215321823</v>
      </c>
      <c r="BA82" s="11" t="n">
        <v>6.05407666296171</v>
      </c>
      <c r="BB82" s="11" t="n">
        <v>6.05265111772195</v>
      </c>
      <c r="BC82" s="11" t="n">
        <v>6.05111180786035</v>
      </c>
      <c r="BD82" s="11" t="n">
        <v>6.05087833472176</v>
      </c>
      <c r="BE82" s="11" t="n">
        <v>6.05117502944991</v>
      </c>
      <c r="BF82" s="11" t="n">
        <v>6.05153060471665</v>
      </c>
      <c r="BG82" s="11" t="n">
        <v>6.04367299685357</v>
      </c>
      <c r="BH82" s="11" t="n">
        <v>6.03767307245211</v>
      </c>
      <c r="BI82" s="11" t="n">
        <v>6.02978817960862</v>
      </c>
      <c r="BJ82" s="11" t="n">
        <v>6.02218043965274</v>
      </c>
      <c r="BK82" s="11" t="n">
        <v>6.01467645946509</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1.54590973355711</v>
      </c>
      <c r="U83" s="11" t="n">
        <v>1.51233022580462</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23.2896131299309</v>
      </c>
      <c r="AD89" s="11" t="n">
        <v>22.4598930752036</v>
      </c>
      <c r="AE89" s="11" t="n">
        <v>21.2504093971715</v>
      </c>
      <c r="AF89" s="11" t="n">
        <v>21.5202362651174</v>
      </c>
      <c r="AG89" s="11" t="n">
        <v>21.3909566422106</v>
      </c>
      <c r="AH89" s="11" t="n">
        <v>20.9216203724665</v>
      </c>
      <c r="AI89" s="11" t="n">
        <v>19.3965300882596</v>
      </c>
      <c r="AJ89" s="11" t="n">
        <v>18.2511641416297</v>
      </c>
      <c r="AK89" s="11" t="n">
        <v>18.1536780644355</v>
      </c>
      <c r="AL89" s="11" t="n">
        <v>17.9881834052639</v>
      </c>
      <c r="AM89" s="11" t="n">
        <v>17.1816180724298</v>
      </c>
      <c r="AN89" s="11" t="n">
        <v>16.805332368613</v>
      </c>
      <c r="AO89" s="11" t="n">
        <v>16.3804599170286</v>
      </c>
      <c r="AP89" s="11" t="n">
        <v>16.6856540403366</v>
      </c>
      <c r="AQ89" s="11" t="n">
        <v>15.7084044980238</v>
      </c>
      <c r="AR89" s="11" t="n">
        <v>14.8484486297686</v>
      </c>
      <c r="AS89" s="11" t="n">
        <v>14.058023031111</v>
      </c>
      <c r="AT89" s="11" t="n">
        <v>13.3612765882142</v>
      </c>
      <c r="AU89" s="11" t="n">
        <v>12.7482354035582</v>
      </c>
      <c r="AV89" s="11" t="n">
        <v>12.2106731334783</v>
      </c>
      <c r="AW89" s="11" t="n">
        <v>11.7432322229737</v>
      </c>
      <c r="AX89" s="11" t="n">
        <v>11.3381303755507</v>
      </c>
      <c r="AY89" s="11" t="n">
        <v>10.9873473505523</v>
      </c>
      <c r="AZ89" s="11" t="n">
        <v>10.6831763987796</v>
      </c>
      <c r="BA89" s="11" t="n">
        <v>10.4215025415605</v>
      </c>
      <c r="BB89" s="11" t="n">
        <v>10.1985929507016</v>
      </c>
      <c r="BC89" s="11" t="n">
        <v>10.0113030599559</v>
      </c>
      <c r="BD89" s="11" t="n">
        <v>9.89321071609362</v>
      </c>
      <c r="BE89" s="11" t="n">
        <v>9.8046886607539</v>
      </c>
      <c r="BF89" s="11" t="n">
        <v>9.74328347267451</v>
      </c>
      <c r="BG89" s="11" t="n">
        <v>9.70676731636727</v>
      </c>
      <c r="BH89" s="11" t="n">
        <v>9.69387380412161</v>
      </c>
      <c r="BI89" s="11" t="n">
        <v>9.7013006501212</v>
      </c>
      <c r="BJ89" s="11" t="n">
        <v>9.72719598973844</v>
      </c>
      <c r="BK89" s="11" t="n">
        <v>9.77005327826599</v>
      </c>
      <c r="BL89" s="11" t="n">
        <v>9.82869102542336</v>
      </c>
      <c r="BM89" s="11" t="n">
        <v>9.90200865914175</v>
      </c>
      <c r="BN89" s="11" t="n">
        <v>85.0412478036718</v>
      </c>
      <c r="BO89" s="11" t="n">
        <v>70.7243881506757</v>
      </c>
      <c r="BP89" s="11" t="n">
        <v>56.9625594813346</v>
      </c>
      <c r="BQ89" s="11" t="n">
        <v>50.3292979290655</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0.904938172599068</v>
      </c>
      <c r="I90" s="11" t="n">
        <v>0.914476012595916</v>
      </c>
      <c r="J90" s="11" t="n">
        <v>0.933558892577923</v>
      </c>
      <c r="K90" s="11" t="n">
        <v>0.968449580784931</v>
      </c>
      <c r="L90" s="11" t="n">
        <v>0.97969326745571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163</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v>
      </c>
      <c r="H4" s="11" t="n">
        <v>778.360752029278</v>
      </c>
      <c r="I4" s="11" t="n">
        <v>765.820753611057</v>
      </c>
      <c r="J4" s="11" t="n">
        <v>759.200161760264</v>
      </c>
      <c r="K4" s="11" t="n">
        <v>779.071811500093</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363.460347183583</v>
      </c>
      <c r="AO4" s="11" t="n">
        <v>355.908173762255</v>
      </c>
      <c r="AP4" s="11" t="n">
        <v>349.729134873291</v>
      </c>
      <c r="AQ4" s="11" t="n">
        <v>342.323064570128</v>
      </c>
      <c r="AR4" s="11" t="n">
        <v>335.684581423838</v>
      </c>
      <c r="AS4" s="11" t="n">
        <v>329.347140196106</v>
      </c>
      <c r="AT4" s="11" t="n">
        <v>322.425869167464</v>
      </c>
      <c r="AU4" s="11" t="n">
        <v>316.875937770599</v>
      </c>
      <c r="AV4" s="11" t="n">
        <v>312.706899597398</v>
      </c>
      <c r="AW4" s="11" t="n">
        <v>309.498018929461</v>
      </c>
      <c r="AX4" s="11" t="n">
        <v>306.676416100051</v>
      </c>
      <c r="AY4" s="11" t="n">
        <v>300.950490013445</v>
      </c>
      <c r="AZ4" s="11" t="n">
        <v>297.689916199259</v>
      </c>
      <c r="BA4" s="11" t="n">
        <v>295.429810947964</v>
      </c>
      <c r="BB4" s="11" t="n">
        <v>293.340141740767</v>
      </c>
      <c r="BC4" s="11" t="n">
        <v>292.385232087854</v>
      </c>
      <c r="BD4" s="11" t="n">
        <v>292.413241034652</v>
      </c>
      <c r="BE4" s="11" t="n">
        <v>292.342427084637</v>
      </c>
      <c r="BF4" s="11" t="n">
        <v>292.850457735241</v>
      </c>
      <c r="BG4" s="11" t="n">
        <v>293.785616124067</v>
      </c>
      <c r="BH4" s="11" t="n">
        <v>294.343035053903</v>
      </c>
      <c r="BI4" s="11" t="n">
        <v>295.411345151742</v>
      </c>
      <c r="BJ4" s="11" t="n">
        <v>296.502139664261</v>
      </c>
      <c r="BK4" s="11" t="n">
        <v>298.177683815797</v>
      </c>
      <c r="BL4" s="11" t="n">
        <v>296.262010938359</v>
      </c>
      <c r="BM4" s="11" t="n">
        <v>292.662451424616</v>
      </c>
      <c r="BN4" s="11" t="n">
        <v>1825.8296992845</v>
      </c>
      <c r="BO4" s="11" t="n">
        <v>1646.65659312814</v>
      </c>
      <c r="BP4" s="11" t="n">
        <v>1527.52174083961</v>
      </c>
      <c r="BQ4" s="11" t="n">
        <v>1465.91085289587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406.188303904461</v>
      </c>
      <c r="AO5" s="11" t="n">
        <v>398.173515368809</v>
      </c>
      <c r="AP5" s="11" t="n">
        <v>391.873970649836</v>
      </c>
      <c r="AQ5" s="11" t="n">
        <v>383.574116708696</v>
      </c>
      <c r="AR5" s="11" t="n">
        <v>377.24699196957</v>
      </c>
      <c r="AS5" s="11" t="n">
        <v>369.947213542784</v>
      </c>
      <c r="AT5" s="11" t="n">
        <v>363.004864386246</v>
      </c>
      <c r="AU5" s="11" t="n">
        <v>357.15297658668</v>
      </c>
      <c r="AV5" s="11" t="n">
        <v>352.334691889188</v>
      </c>
      <c r="AW5" s="11" t="n">
        <v>348.659175684316</v>
      </c>
      <c r="AX5" s="11" t="n">
        <v>345.691058361038</v>
      </c>
      <c r="AY5" s="11" t="n">
        <v>339.413597706412</v>
      </c>
      <c r="AZ5" s="11" t="n">
        <v>335.43631383392</v>
      </c>
      <c r="BA5" s="11" t="n">
        <v>333.064784187444</v>
      </c>
      <c r="BB5" s="11" t="n">
        <v>331.071881121129</v>
      </c>
      <c r="BC5" s="11" t="n">
        <v>329.898338661926</v>
      </c>
      <c r="BD5" s="11" t="n">
        <v>330.476046805083</v>
      </c>
      <c r="BE5" s="11" t="n">
        <v>331.011435771354</v>
      </c>
      <c r="BF5" s="11" t="n">
        <v>331.508464014611</v>
      </c>
      <c r="BG5" s="11" t="n">
        <v>332.195327253798</v>
      </c>
      <c r="BH5" s="11" t="n">
        <v>332.338281391243</v>
      </c>
      <c r="BI5" s="11" t="n">
        <v>332.962307858401</v>
      </c>
      <c r="BJ5" s="11" t="n">
        <v>333.376870940716</v>
      </c>
      <c r="BK5" s="11" t="n">
        <v>335.3226813485</v>
      </c>
      <c r="BL5" s="11" t="n">
        <v>332.295312649194</v>
      </c>
      <c r="BM5" s="11" t="n">
        <v>328.175097002521</v>
      </c>
      <c r="BN5" s="11" t="n">
        <v>2034.77376539186</v>
      </c>
      <c r="BO5" s="11" t="n">
        <v>1850.92616319398</v>
      </c>
      <c r="BP5" s="11" t="n">
        <v>1721.53483747487</v>
      </c>
      <c r="BQ5" s="11" t="n">
        <v>1655.52248654693</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363.460347183583</v>
      </c>
      <c r="AO6" s="11" t="n">
        <v>355.908173762255</v>
      </c>
      <c r="AP6" s="11" t="n">
        <v>349.729134873291</v>
      </c>
      <c r="AQ6" s="11" t="n">
        <v>342.323064570128</v>
      </c>
      <c r="AR6" s="11" t="n">
        <v>335.684581423838</v>
      </c>
      <c r="AS6" s="11" t="n">
        <v>329.347140196106</v>
      </c>
      <c r="AT6" s="11" t="n">
        <v>322.425869167464</v>
      </c>
      <c r="AU6" s="11" t="n">
        <v>316.875937770599</v>
      </c>
      <c r="AV6" s="11" t="n">
        <v>352.334691889188</v>
      </c>
      <c r="AW6" s="11" t="n">
        <v>348.659175684316</v>
      </c>
      <c r="AX6" s="11" t="n">
        <v>345.691058361038</v>
      </c>
      <c r="AY6" s="11" t="n">
        <v>339.413597706412</v>
      </c>
      <c r="AZ6" s="11" t="n">
        <v>335.43631383392</v>
      </c>
      <c r="BA6" s="11"/>
      <c r="BB6" s="11"/>
      <c r="BC6" s="11"/>
      <c r="BD6" s="11"/>
      <c r="BE6" s="11"/>
      <c r="BF6" s="11"/>
      <c r="BG6" s="11"/>
      <c r="BH6" s="11"/>
      <c r="BI6" s="11"/>
      <c r="BJ6" s="11"/>
      <c r="BK6" s="11"/>
      <c r="BL6" s="11"/>
      <c r="BM6" s="11"/>
      <c r="BN6" s="11" t="n">
        <v>1825.8296992845</v>
      </c>
      <c r="BO6" s="11" t="n">
        <v>1646.65659312814</v>
      </c>
      <c r="BP6" s="11" t="n">
        <v>1721.53483747487</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363.460347183583</v>
      </c>
      <c r="AO7" s="11" t="n">
        <v>355.908173762255</v>
      </c>
      <c r="AP7" s="11" t="n">
        <v>349.729134873291</v>
      </c>
      <c r="AQ7" s="11" t="n">
        <v>342.323064570128</v>
      </c>
      <c r="AR7" s="11" t="n">
        <v>335.684581423838</v>
      </c>
      <c r="AS7" s="11" t="n">
        <v>329.347140196106</v>
      </c>
      <c r="AT7" s="11" t="n">
        <v>322.425869167464</v>
      </c>
      <c r="AU7" s="11" t="n">
        <v>316.875937770599</v>
      </c>
      <c r="AV7" s="11"/>
      <c r="AW7" s="11"/>
      <c r="AX7" s="11"/>
      <c r="AY7" s="11"/>
      <c r="AZ7" s="11"/>
      <c r="BA7" s="11"/>
      <c r="BB7" s="11"/>
      <c r="BC7" s="11"/>
      <c r="BD7" s="11"/>
      <c r="BE7" s="11"/>
      <c r="BF7" s="11"/>
      <c r="BG7" s="11"/>
      <c r="BH7" s="11"/>
      <c r="BI7" s="11"/>
      <c r="BJ7" s="11"/>
      <c r="BK7" s="11"/>
      <c r="BL7" s="11"/>
      <c r="BM7" s="11"/>
      <c r="BN7" s="11" t="n">
        <v>1825.8296992845</v>
      </c>
      <c r="BO7" s="11" t="n">
        <v>1646.65659312814</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352.334691889188</v>
      </c>
      <c r="AW8" s="11" t="n">
        <v>348.659175684316</v>
      </c>
      <c r="AX8" s="11" t="n">
        <v>345.691058361038</v>
      </c>
      <c r="AY8" s="11" t="n">
        <v>339.413597706412</v>
      </c>
      <c r="AZ8" s="11" t="n">
        <v>335.43631383392</v>
      </c>
      <c r="BA8" s="11"/>
      <c r="BB8" s="11"/>
      <c r="BC8" s="11"/>
      <c r="BD8" s="11"/>
      <c r="BE8" s="11"/>
      <c r="BF8" s="11"/>
      <c r="BG8" s="11"/>
      <c r="BH8" s="11"/>
      <c r="BI8" s="11"/>
      <c r="BJ8" s="11"/>
      <c r="BK8" s="11"/>
      <c r="BL8" s="11"/>
      <c r="BM8" s="11"/>
      <c r="BN8" s="11"/>
      <c r="BO8" s="11"/>
      <c r="BP8" s="11" t="n">
        <v>1721.53483747487</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53.6728877296628</v>
      </c>
      <c r="K9" s="11" t="n">
        <v>55.0409098307286</v>
      </c>
      <c r="L9" s="11" t="n">
        <v>54.6237497116691</v>
      </c>
      <c r="M9" s="11" t="n">
        <v>54.2939813468889</v>
      </c>
      <c r="N9" s="11" t="n">
        <v>54.540916712647</v>
      </c>
      <c r="O9" s="11" t="n">
        <v>52.5801767156203</v>
      </c>
      <c r="P9" s="11" t="n">
        <v>50.3804222760027</v>
      </c>
      <c r="Q9" s="11" t="n">
        <v>50.0717765484391</v>
      </c>
      <c r="R9" s="11" t="n">
        <v>50.5149288135195</v>
      </c>
      <c r="S9" s="11" t="n">
        <v>51.2973576711181</v>
      </c>
      <c r="T9" s="11" t="n">
        <v>51.4385984999855</v>
      </c>
      <c r="U9" s="11" t="n">
        <v>50.3863717343563</v>
      </c>
      <c r="V9" s="11" t="n">
        <v>49.9875870606817</v>
      </c>
      <c r="W9" s="11" t="n">
        <v>49.6981093209486</v>
      </c>
      <c r="X9" s="11" t="n">
        <v>49.2150761195019</v>
      </c>
      <c r="Y9" s="11" t="n">
        <v>49.6272287339461</v>
      </c>
      <c r="Z9" s="11" t="n">
        <v>48.8195310118092</v>
      </c>
      <c r="AA9" s="11" t="n">
        <v>49.2577794183426</v>
      </c>
      <c r="AB9" s="11" t="n">
        <v>49.0850161759068</v>
      </c>
      <c r="AC9" s="11" t="n">
        <v>49.4343920328083</v>
      </c>
      <c r="AD9" s="11" t="n">
        <v>50.6170357854804</v>
      </c>
      <c r="AE9" s="11" t="n">
        <v>50.0256613841093</v>
      </c>
      <c r="AF9" s="11" t="n">
        <v>49.9449226392524</v>
      </c>
      <c r="AG9" s="11" t="n">
        <v>48.0992006922732</v>
      </c>
      <c r="AH9" s="11" t="n">
        <v>48.6437333049381</v>
      </c>
      <c r="AI9" s="11" t="n">
        <v>47.4216999744916</v>
      </c>
      <c r="AJ9" s="11" t="n">
        <v>48.1166146754414</v>
      </c>
      <c r="AK9" s="11" t="n">
        <v>46.8561837228894</v>
      </c>
      <c r="AL9" s="11" t="n">
        <v>46.6137424553026</v>
      </c>
      <c r="AM9" s="11" t="n">
        <v>45.5769870262768</v>
      </c>
      <c r="AN9" s="11" t="n">
        <v>45.1565653679124</v>
      </c>
      <c r="AO9" s="11" t="n">
        <v>44.9806085663478</v>
      </c>
      <c r="AP9" s="11" t="n">
        <v>44.8937218741866</v>
      </c>
      <c r="AQ9" s="11" t="n">
        <v>44.832851378615</v>
      </c>
      <c r="AR9" s="11" t="n">
        <v>44.7571506999058</v>
      </c>
      <c r="AS9" s="11" t="n">
        <v>44.64594711842</v>
      </c>
      <c r="AT9" s="11" t="n">
        <v>44.4750103600965</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93.7043511201761</v>
      </c>
      <c r="AJ10" s="11" t="n">
        <v>98.2009567177289</v>
      </c>
      <c r="AK10" s="11" t="n">
        <v>83.4998821959421</v>
      </c>
      <c r="AL10" s="11" t="n">
        <v>78.4758175684127</v>
      </c>
      <c r="AM10" s="11" t="n">
        <v>81.0366508749843</v>
      </c>
      <c r="AN10" s="11" t="n">
        <v>83.8865337153436</v>
      </c>
      <c r="AO10" s="11" t="n">
        <v>83.5014520298786</v>
      </c>
      <c r="AP10" s="11" t="n">
        <v>83.1768543954424</v>
      </c>
      <c r="AQ10" s="11" t="n">
        <v>82.7506729338253</v>
      </c>
      <c r="AR10" s="11" t="n">
        <v>82.6945133839652</v>
      </c>
      <c r="AS10" s="11" t="n">
        <v>82.4223832068652</v>
      </c>
      <c r="AT10" s="11" t="n">
        <v>82.3104070748621</v>
      </c>
      <c r="AU10" s="11" t="n">
        <v>82.2010671339349</v>
      </c>
      <c r="AV10" s="11" t="n">
        <v>82.1629676958536</v>
      </c>
      <c r="AW10" s="11" t="n">
        <v>82.1545491260031</v>
      </c>
      <c r="AX10" s="11" t="n">
        <v>82.2009348520746</v>
      </c>
      <c r="AY10" s="11" t="n">
        <v>82.6391660687762</v>
      </c>
      <c r="AZ10" s="11" t="n">
        <v>82.7688437802005</v>
      </c>
      <c r="BA10" s="11" t="n">
        <v>83.0191088692865</v>
      </c>
      <c r="BB10" s="11" t="n">
        <v>83.2860429241062</v>
      </c>
      <c r="BC10" s="11" t="n">
        <v>83.6024996956608</v>
      </c>
      <c r="BD10" s="11" t="n">
        <v>84.0153465153055</v>
      </c>
      <c r="BE10" s="11" t="n">
        <v>84.2822588961596</v>
      </c>
      <c r="BF10" s="11" t="n">
        <v>84.4904700284748</v>
      </c>
      <c r="BG10" s="11" t="n">
        <v>84.9011506138766</v>
      </c>
      <c r="BH10" s="11" t="n">
        <v>84.9778553828405</v>
      </c>
      <c r="BI10" s="11" t="n">
        <v>85.1556108544912</v>
      </c>
      <c r="BJ10" s="11" t="n">
        <v>85.4746590777388</v>
      </c>
      <c r="BK10" s="11" t="n">
        <v>85.6065175357906</v>
      </c>
      <c r="BL10" s="11" t="n">
        <v>85.6534907647552</v>
      </c>
      <c r="BM10" s="11" t="n">
        <v>85.6937452097393</v>
      </c>
      <c r="BN10" s="11" t="n">
        <v>410.077308584062</v>
      </c>
      <c r="BO10" s="11" t="n">
        <v>412.379043733453</v>
      </c>
      <c r="BP10" s="11" t="n">
        <v>411.926461522908</v>
      </c>
      <c r="BQ10" s="11" t="n">
        <v>418.205256900519</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116.593019962325</v>
      </c>
      <c r="AO11" s="11" t="n">
        <v>113.822859403631</v>
      </c>
      <c r="AP11" s="11" t="n">
        <v>110.841618870418</v>
      </c>
      <c r="AQ11" s="11" t="n">
        <v>106.49907013392</v>
      </c>
      <c r="AR11" s="11" t="n">
        <v>101.293796197749</v>
      </c>
      <c r="AS11" s="11" t="n">
        <v>95.0688059308509</v>
      </c>
      <c r="AT11" s="11" t="n">
        <v>89.3559283911025</v>
      </c>
      <c r="AU11" s="11" t="n">
        <v>84.0613512318937</v>
      </c>
      <c r="AV11" s="11" t="n">
        <v>79.4777409819423</v>
      </c>
      <c r="AW11" s="11" t="n">
        <v>75.3813508672319</v>
      </c>
      <c r="AX11" s="11" t="n">
        <v>71.7975935187969</v>
      </c>
      <c r="AY11" s="11" t="n">
        <v>68.5454855202558</v>
      </c>
      <c r="AZ11" s="11" t="n">
        <v>65.6270512364291</v>
      </c>
      <c r="BA11" s="11" t="n">
        <v>63.0565649594218</v>
      </c>
      <c r="BB11" s="11" t="n">
        <v>60.8803907739339</v>
      </c>
      <c r="BC11" s="11" t="n">
        <v>58.9057991275836</v>
      </c>
      <c r="BD11" s="11" t="n">
        <v>57.2652076340399</v>
      </c>
      <c r="BE11" s="11" t="n">
        <v>55.8206569582427</v>
      </c>
      <c r="BF11" s="11" t="n">
        <v>54.6905757590038</v>
      </c>
      <c r="BG11" s="11" t="n">
        <v>53.7043324431863</v>
      </c>
      <c r="BH11" s="11" t="n">
        <v>52.8720322195549</v>
      </c>
      <c r="BI11" s="11" t="n">
        <v>52.2395849454193</v>
      </c>
      <c r="BJ11" s="11" t="n">
        <v>51.6979734008912</v>
      </c>
      <c r="BK11" s="11" t="n">
        <v>51.397981264157</v>
      </c>
      <c r="BL11" s="11" t="n">
        <v>51.096150260055</v>
      </c>
      <c r="BM11" s="11" t="n">
        <v>50.8666042167505</v>
      </c>
      <c r="BN11" s="11" t="n">
        <v>565.541560827476</v>
      </c>
      <c r="BO11" s="11" t="n">
        <v>476.278951885516</v>
      </c>
      <c r="BP11" s="11" t="n">
        <v>360.829222124656</v>
      </c>
      <c r="BQ11" s="11" t="n">
        <v>295.928619453222</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38.722355501135</v>
      </c>
      <c r="AN12" s="11" t="n">
        <v>26.9952145949613</v>
      </c>
      <c r="AO12" s="11" t="n">
        <v>24.7868974484337</v>
      </c>
      <c r="AP12" s="11" t="n">
        <v>22.305910938994</v>
      </c>
      <c r="AQ12" s="11" t="n">
        <v>21.6483936489559</v>
      </c>
      <c r="AR12" s="11" t="n">
        <v>21.9507782604151</v>
      </c>
      <c r="AS12" s="11" t="n">
        <v>24.1431624866389</v>
      </c>
      <c r="AT12" s="11" t="n">
        <v>24.8299844947136</v>
      </c>
      <c r="AU12" s="11" t="n">
        <v>25.8032580002544</v>
      </c>
      <c r="AV12" s="11" t="n">
        <v>27.5332559682819</v>
      </c>
      <c r="AW12" s="11" t="n">
        <v>29.2526410329017</v>
      </c>
      <c r="AX12" s="11" t="n">
        <v>30.5810206804206</v>
      </c>
      <c r="AY12" s="11" t="n">
        <v>29.8023505741327</v>
      </c>
      <c r="AZ12" s="11" t="n">
        <v>29.7483293706442</v>
      </c>
      <c r="BA12" s="11" t="n">
        <v>30.4490819337625</v>
      </c>
      <c r="BB12" s="11" t="n">
        <v>30.9960078446933</v>
      </c>
      <c r="BC12" s="11" t="n">
        <v>31.6324749497826</v>
      </c>
      <c r="BD12" s="11" t="n">
        <v>33.4322631563154</v>
      </c>
      <c r="BE12" s="11" t="n">
        <v>35.2619795894301</v>
      </c>
      <c r="BF12" s="11" t="n">
        <v>36.8307493906397</v>
      </c>
      <c r="BG12" s="11" t="n">
        <v>38.2782623890217</v>
      </c>
      <c r="BH12" s="11" t="n">
        <v>39.45116734151</v>
      </c>
      <c r="BI12" s="11" t="n">
        <v>40.6987862978818</v>
      </c>
      <c r="BJ12" s="11" t="n">
        <v>41.8986409448813</v>
      </c>
      <c r="BK12" s="11" t="n">
        <v>43.7550892574152</v>
      </c>
      <c r="BL12" s="11" t="n">
        <v>42.3061934631674</v>
      </c>
      <c r="BM12" s="11" t="n">
        <v>38.7751340512474</v>
      </c>
      <c r="BN12" s="11" t="n">
        <v>156.743875252666</v>
      </c>
      <c r="BO12" s="11" t="n">
        <v>118.375576890978</v>
      </c>
      <c r="BP12" s="11" t="n">
        <v>146.917597626381</v>
      </c>
      <c r="BQ12" s="11" t="n">
        <v>161.771807473984</v>
      </c>
    </row>
    <row r="13" customFormat="false" ht="13.8" hidden="false" customHeight="false" outlineLevel="0" collapsed="false">
      <c r="A13" s="11" t="s">
        <v>137</v>
      </c>
      <c r="B13" s="11" t="s">
        <v>148</v>
      </c>
      <c r="C13" s="11" t="s">
        <v>139</v>
      </c>
      <c r="D13" s="12"/>
      <c r="E13" s="11" t="n">
        <v>77.1921705075374</v>
      </c>
      <c r="F13" s="11" t="n">
        <v>78.080806528045</v>
      </c>
      <c r="G13" s="11" t="n">
        <v>79.240786095642</v>
      </c>
      <c r="H13" s="11" t="n">
        <v>78.9274931034911</v>
      </c>
      <c r="I13" s="11" t="n">
        <v>71.4488522684982</v>
      </c>
      <c r="J13" s="11" t="n">
        <v>74.8462179844523</v>
      </c>
      <c r="K13" s="11" t="n">
        <v>74.6165741832361</v>
      </c>
      <c r="L13" s="11" t="n">
        <v>72.7018598920015</v>
      </c>
      <c r="M13" s="11" t="n">
        <v>71.0438362400115</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30.274268340238</v>
      </c>
      <c r="AO13" s="11" t="n">
        <v>29.2104128230315</v>
      </c>
      <c r="AP13" s="11" t="n">
        <v>28.4806307675485</v>
      </c>
      <c r="AQ13" s="11" t="n">
        <v>27.5229323039013</v>
      </c>
      <c r="AR13" s="11" t="n">
        <v>26.5979473983794</v>
      </c>
      <c r="AS13" s="11" t="n">
        <v>25.2371451268276</v>
      </c>
      <c r="AT13" s="11" t="n">
        <v>23.8514285594021</v>
      </c>
      <c r="AU13" s="11" t="n">
        <v>23.0065724212351</v>
      </c>
      <c r="AV13" s="11" t="n">
        <v>21.9192955559725</v>
      </c>
      <c r="AW13" s="11" t="n">
        <v>21.48781357008</v>
      </c>
      <c r="AX13" s="11" t="n">
        <v>21.0614742493577</v>
      </c>
      <c r="AY13" s="11" t="n">
        <v>19.0667710467208</v>
      </c>
      <c r="AZ13" s="11" t="n">
        <v>18.5599215421027</v>
      </c>
      <c r="BA13" s="11" t="n">
        <v>18.0322893702967</v>
      </c>
      <c r="BB13" s="11" t="n">
        <v>17.2451801553012</v>
      </c>
      <c r="BC13" s="11" t="n">
        <v>16.9018771022424</v>
      </c>
      <c r="BD13" s="11" t="n">
        <v>15.6304598421478</v>
      </c>
      <c r="BE13" s="11" t="n">
        <v>14.8288609692751</v>
      </c>
      <c r="BF13" s="11" t="n">
        <v>14.5190472581112</v>
      </c>
      <c r="BG13" s="11" t="n">
        <v>14.4543918456798</v>
      </c>
      <c r="BH13" s="11" t="n">
        <v>14.3792214845776</v>
      </c>
      <c r="BI13" s="11" t="n">
        <v>14.3339651566805</v>
      </c>
      <c r="BJ13" s="11" t="n">
        <v>14.2642746896242</v>
      </c>
      <c r="BK13" s="11" t="n">
        <v>13.9868989590727</v>
      </c>
      <c r="BL13" s="11" t="n">
        <v>13.5837592832299</v>
      </c>
      <c r="BM13" s="11" t="n">
        <v>13.409178173891</v>
      </c>
      <c r="BN13" s="11" t="n">
        <v>148.940523651501</v>
      </c>
      <c r="BO13" s="11" t="n">
        <v>126.216025809746</v>
      </c>
      <c r="BP13" s="11" t="n">
        <v>102.095275964234</v>
      </c>
      <c r="BQ13" s="11" t="n">
        <v>82.6386674392632</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42.727956720878</v>
      </c>
      <c r="AO14" s="11" t="n">
        <v>42.2653416065534</v>
      </c>
      <c r="AP14" s="11" t="n">
        <v>42.1448357765452</v>
      </c>
      <c r="AQ14" s="11" t="n">
        <v>41.2510521385682</v>
      </c>
      <c r="AR14" s="11" t="n">
        <v>41.562410545732</v>
      </c>
      <c r="AS14" s="11" t="n">
        <v>40.6000733466774</v>
      </c>
      <c r="AT14" s="11" t="n">
        <v>40.5789952187816</v>
      </c>
      <c r="AU14" s="11" t="n">
        <v>40.2770388160812</v>
      </c>
      <c r="AV14" s="11" t="n">
        <v>39.6277922917894</v>
      </c>
      <c r="AW14" s="11" t="n">
        <v>39.1611567548553</v>
      </c>
      <c r="AX14" s="11" t="n">
        <v>39.0146422609872</v>
      </c>
      <c r="AY14" s="11" t="n">
        <v>38.4631076929669</v>
      </c>
      <c r="AZ14" s="11" t="n">
        <v>37.7463976346609</v>
      </c>
      <c r="BA14" s="11" t="n">
        <v>37.6349732394794</v>
      </c>
      <c r="BB14" s="11" t="n">
        <v>37.7317393803614</v>
      </c>
      <c r="BC14" s="11" t="n">
        <v>37.5131065740718</v>
      </c>
      <c r="BD14" s="11" t="n">
        <v>38.0628057704305</v>
      </c>
      <c r="BE14" s="11" t="n">
        <v>38.6690086867167</v>
      </c>
      <c r="BF14" s="11" t="n">
        <v>38.6580062793694</v>
      </c>
      <c r="BG14" s="11" t="n">
        <v>38.409711129731</v>
      </c>
      <c r="BH14" s="11" t="n">
        <v>37.99524633734</v>
      </c>
      <c r="BI14" s="11" t="n">
        <v>37.5509627066593</v>
      </c>
      <c r="BJ14" s="11" t="n">
        <v>36.8747312764553</v>
      </c>
      <c r="BK14" s="11" t="n">
        <v>37.1449975327032</v>
      </c>
      <c r="BL14" s="11" t="n">
        <v>36.033301710835</v>
      </c>
      <c r="BM14" s="11" t="n">
        <v>35.5126455779044</v>
      </c>
      <c r="BN14" s="11" t="n">
        <v>208.94406610736</v>
      </c>
      <c r="BO14" s="11" t="n">
        <v>204.26957006584</v>
      </c>
      <c r="BP14" s="11" t="n">
        <v>194.01309663526</v>
      </c>
      <c r="BQ14" s="11" t="n">
        <v>189.61163365106</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43.264905241902</v>
      </c>
      <c r="AN15" s="11" t="n">
        <v>41.0293058196951</v>
      </c>
      <c r="AO15" s="11" t="n">
        <v>40.4086509792925</v>
      </c>
      <c r="AP15" s="11" t="n">
        <v>40.4100093212009</v>
      </c>
      <c r="AQ15" s="11" t="n">
        <v>40.4332725556301</v>
      </c>
      <c r="AR15" s="11" t="n">
        <v>40.462898858644</v>
      </c>
      <c r="AS15" s="11" t="n">
        <v>40.5545925393148</v>
      </c>
      <c r="AT15" s="11" t="n">
        <v>40.7817395562585</v>
      </c>
      <c r="AU15" s="11" t="n">
        <v>41.0779818724388</v>
      </c>
      <c r="AV15" s="11" t="n">
        <v>41.3517789826438</v>
      </c>
      <c r="AW15" s="11" t="n">
        <v>41.3479849869409</v>
      </c>
      <c r="AX15" s="11" t="n">
        <v>41.4937221707391</v>
      </c>
      <c r="AY15" s="11" t="n">
        <v>41.6865819548399</v>
      </c>
      <c r="AZ15" s="11" t="n">
        <v>42.1147398460581</v>
      </c>
      <c r="BA15" s="11" t="n">
        <v>42.3844726224996</v>
      </c>
      <c r="BB15" s="11" t="n">
        <v>42.8014959973685</v>
      </c>
      <c r="BC15" s="11" t="n">
        <v>43.5664766858955</v>
      </c>
      <c r="BD15" s="11" t="n">
        <v>44.5313853719989</v>
      </c>
      <c r="BE15" s="11" t="n">
        <v>44.9187356585429</v>
      </c>
      <c r="BF15" s="11" t="n">
        <v>45.4550024869247</v>
      </c>
      <c r="BG15" s="11" t="n">
        <v>45.9481435254207</v>
      </c>
      <c r="BH15" s="11" t="n">
        <v>46.5549963369877</v>
      </c>
      <c r="BI15" s="11" t="n">
        <v>47.2240621620636</v>
      </c>
      <c r="BJ15" s="11" t="n">
        <v>47.7620086116627</v>
      </c>
      <c r="BK15" s="11" t="n">
        <v>48.4191212200103</v>
      </c>
      <c r="BL15" s="11" t="n">
        <v>48.995238200299</v>
      </c>
      <c r="BM15" s="11" t="n">
        <v>49.6773334738947</v>
      </c>
      <c r="BN15" s="11" t="n">
        <v>218.163952003575</v>
      </c>
      <c r="BO15" s="11" t="n">
        <v>203.310485382286</v>
      </c>
      <c r="BP15" s="11" t="n">
        <v>207.994807941222</v>
      </c>
      <c r="BQ15" s="11" t="n">
        <v>218.202566336305</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7.29888881565863</v>
      </c>
      <c r="L16" s="11" t="n">
        <v>6.74965008724044</v>
      </c>
      <c r="M16" s="11" t="n">
        <v>5.96165299469253</v>
      </c>
      <c r="N16" s="11" t="n">
        <v>6.07622611866308</v>
      </c>
      <c r="O16" s="11" t="n">
        <v>5.8165000617974</v>
      </c>
      <c r="P16" s="11" t="n">
        <v>5.17351914195232</v>
      </c>
      <c r="Q16" s="11" t="n">
        <v>4.3457864800215</v>
      </c>
      <c r="R16" s="11" t="n">
        <v>4.18559867581597</v>
      </c>
      <c r="S16" s="11" t="n">
        <v>3.32599036920681</v>
      </c>
      <c r="T16" s="11" t="n">
        <v>2.9562338693275</v>
      </c>
      <c r="U16" s="11" t="n">
        <v>2.53705519258907</v>
      </c>
      <c r="V16" s="11" t="n">
        <v>1.91003713291075</v>
      </c>
      <c r="W16" s="11" t="n">
        <v>1.22774903416888</v>
      </c>
      <c r="X16" s="11" t="n">
        <v>1.13558384043056</v>
      </c>
      <c r="Y16" s="11" t="n">
        <v>1.05006812917393</v>
      </c>
      <c r="Z16" s="11" t="n">
        <v>0.403891460082564</v>
      </c>
      <c r="AA16" s="11" t="n">
        <v>0.505346373580899</v>
      </c>
      <c r="AB16" s="11" t="n">
        <v>0.398968456201681</v>
      </c>
      <c r="AC16" s="11" t="n">
        <v>0.0720308545919073</v>
      </c>
      <c r="AD16" s="11" t="n">
        <v>-0.0617161466723142</v>
      </c>
      <c r="AE16" s="11" t="n">
        <v>0.295045210907603</v>
      </c>
      <c r="AF16" s="11" t="n">
        <v>0.0212098248235195</v>
      </c>
      <c r="AG16" s="11" t="n">
        <v>0.684754591408554</v>
      </c>
      <c r="AH16" s="11" t="n">
        <v>0.551649018647838</v>
      </c>
      <c r="AI16" s="11" t="n">
        <v>0.401275637288966</v>
      </c>
      <c r="AJ16" s="11" t="n">
        <v>0.235021339974388</v>
      </c>
      <c r="AK16" s="11" t="n">
        <v>0.541752124764709</v>
      </c>
      <c r="AL16" s="11" t="n">
        <v>1.11971398879782</v>
      </c>
      <c r="AM16" s="11" t="n">
        <v>0.772473937745446</v>
      </c>
      <c r="AN16" s="11" t="n">
        <v>0.85338772111931</v>
      </c>
      <c r="AO16" s="11" t="n">
        <v>0.941803891439629</v>
      </c>
      <c r="AP16" s="11" t="n">
        <v>1.05249354242531</v>
      </c>
      <c r="AQ16" s="11" t="n">
        <v>1.03922145167634</v>
      </c>
      <c r="AR16" s="11" t="n">
        <v>1.18494290131125</v>
      </c>
      <c r="AS16" s="11" t="n">
        <v>1.33687784699157</v>
      </c>
      <c r="AT16" s="11" t="n">
        <v>1.59385231293396</v>
      </c>
      <c r="AU16" s="11" t="n">
        <v>1.8600063221481</v>
      </c>
      <c r="AV16" s="11" t="n">
        <v>2.18002045240814</v>
      </c>
      <c r="AW16" s="11" t="n">
        <v>2.52245540334349</v>
      </c>
      <c r="AX16" s="11" t="n">
        <v>2.86269668185091</v>
      </c>
      <c r="AY16" s="11" t="n">
        <v>3.1910595289671</v>
      </c>
      <c r="AZ16" s="11" t="n">
        <v>3.48110002502241</v>
      </c>
      <c r="BA16" s="11" t="n">
        <v>3.70278702304934</v>
      </c>
      <c r="BB16" s="11" t="n">
        <v>3.92197933803403</v>
      </c>
      <c r="BC16" s="11" t="n">
        <v>4.10534913163693</v>
      </c>
      <c r="BD16" s="11" t="n">
        <v>4.29487024454034</v>
      </c>
      <c r="BE16" s="11" t="n">
        <v>4.41276908506391</v>
      </c>
      <c r="BF16" s="11" t="n">
        <v>4.48241621455591</v>
      </c>
      <c r="BG16" s="11" t="n">
        <v>4.51963787513381</v>
      </c>
      <c r="BH16" s="11" t="n">
        <v>4.51963829708352</v>
      </c>
      <c r="BI16" s="11" t="n">
        <v>4.54417530675067</v>
      </c>
      <c r="BJ16" s="11" t="n">
        <v>4.5413256061281</v>
      </c>
      <c r="BK16" s="11" t="n">
        <v>4.4904485985796</v>
      </c>
      <c r="BL16" s="11" t="n">
        <v>4.432307529618</v>
      </c>
      <c r="BM16" s="11" t="n">
        <v>4.35862189668962</v>
      </c>
      <c r="BN16" s="11" t="n">
        <v>4.73987308152751</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70.2851382107242</v>
      </c>
      <c r="F17" s="11" t="n">
        <v>71.151851599193</v>
      </c>
      <c r="G17" s="11" t="n">
        <v>71.3100141105853</v>
      </c>
      <c r="H17" s="11" t="n">
        <v>71.9864210312014</v>
      </c>
      <c r="I17" s="11" t="n">
        <v>72.4678954520795</v>
      </c>
      <c r="J17" s="11" t="n">
        <v>73.1884732530741</v>
      </c>
      <c r="K17" s="11" t="n">
        <v>73.837094103762</v>
      </c>
      <c r="L17" s="11" t="n">
        <v>73.4280783971221</v>
      </c>
      <c r="M17" s="11" t="n">
        <v>73.0234035710687</v>
      </c>
      <c r="N17" s="11" t="n">
        <v>70.5019423640304</v>
      </c>
      <c r="O17" s="11" t="n">
        <v>67.7097679254949</v>
      </c>
      <c r="P17" s="11" t="n">
        <v>65.3994841446134</v>
      </c>
      <c r="Q17" s="11" t="n">
        <v>64.9403304902157</v>
      </c>
      <c r="R17" s="11" t="n">
        <v>61.4927753474448</v>
      </c>
      <c r="S17" s="11" t="n">
        <v>56.830230673088</v>
      </c>
      <c r="T17" s="11" t="n">
        <v>54.5724508834385</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23.2815089852245</v>
      </c>
      <c r="AG17" s="11" t="n">
        <v>23.1253245940442</v>
      </c>
      <c r="AH17" s="11" t="n">
        <v>22.6426622638462</v>
      </c>
      <c r="AI17" s="11" t="n">
        <v>21.1336177423037</v>
      </c>
      <c r="AJ17" s="11" t="n">
        <v>20.070118805901</v>
      </c>
      <c r="AK17" s="11" t="n">
        <v>19.9737418305989</v>
      </c>
      <c r="AL17" s="11" t="n">
        <v>19.8666312812048</v>
      </c>
      <c r="AM17" s="11" t="n">
        <v>19.0389138671954</v>
      </c>
      <c r="AN17" s="11" t="n">
        <v>18.6720516619882</v>
      </c>
      <c r="AO17" s="11" t="n">
        <v>18.2554886202007</v>
      </c>
      <c r="AP17" s="11" t="n">
        <v>18.567895163075</v>
      </c>
      <c r="AQ17" s="11" t="n">
        <v>17.5966501636035</v>
      </c>
      <c r="AR17" s="11" t="n">
        <v>16.7425537234689</v>
      </c>
      <c r="AS17" s="11" t="n">
        <v>15.9382259401972</v>
      </c>
      <c r="AT17" s="11" t="n">
        <v>15.2275184180952</v>
      </c>
      <c r="AU17" s="11" t="n">
        <v>14.6004148871288</v>
      </c>
      <c r="AV17" s="11" t="n">
        <v>14.048664442749</v>
      </c>
      <c r="AW17" s="11" t="n">
        <v>13.5668920883837</v>
      </c>
      <c r="AX17" s="11" t="n">
        <v>13.1473344474649</v>
      </c>
      <c r="AY17" s="11" t="n">
        <v>12.7820473750998</v>
      </c>
      <c r="AZ17" s="11" t="n">
        <v>12.4632483975166</v>
      </c>
      <c r="BA17" s="11" t="n">
        <v>12.1868367778312</v>
      </c>
      <c r="BB17" s="11" t="n">
        <v>11.9490548829467</v>
      </c>
      <c r="BC17" s="11" t="n">
        <v>11.7468389629804</v>
      </c>
      <c r="BD17" s="11" t="n">
        <v>11.6333884809098</v>
      </c>
      <c r="BE17" s="11" t="n">
        <v>11.5494610935101</v>
      </c>
      <c r="BF17" s="11" t="n">
        <v>11.4926011563282</v>
      </c>
      <c r="BG17" s="11" t="n">
        <v>11.460575465964</v>
      </c>
      <c r="BH17" s="11" t="n">
        <v>11.4521137642813</v>
      </c>
      <c r="BI17" s="11" t="n">
        <v>11.4639103903603</v>
      </c>
      <c r="BJ17" s="11" t="n">
        <v>11.4941094018036</v>
      </c>
      <c r="BK17" s="11" t="n">
        <v>11.5411882308021</v>
      </c>
      <c r="BL17" s="11" t="n">
        <v>11.6039467491324</v>
      </c>
      <c r="BM17" s="11" t="n">
        <v>11.6812776690764</v>
      </c>
      <c r="BN17" s="11" t="n">
        <v>94.4009805936641</v>
      </c>
      <c r="BO17" s="11" t="n">
        <v>80.1053631324936</v>
      </c>
      <c r="BP17" s="11" t="n">
        <v>66.0081867512141</v>
      </c>
      <c r="BQ17" s="11" t="n">
        <v>59.0655801981782</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291.257867282488</v>
      </c>
      <c r="AN18" s="11" t="n">
        <v>284.161530264055</v>
      </c>
      <c r="AO18" s="11" t="n">
        <v>277.627669292592</v>
      </c>
      <c r="AP18" s="11" t="n">
        <v>271.667971175449</v>
      </c>
      <c r="AQ18" s="11" t="n">
        <v>265.895655061188</v>
      </c>
      <c r="AR18" s="11" t="n">
        <v>260.553377406406</v>
      </c>
      <c r="AS18" s="11" t="n">
        <v>255.533326486988</v>
      </c>
      <c r="AT18" s="11" t="n">
        <v>249.840151603894</v>
      </c>
      <c r="AU18" s="11" t="n">
        <v>245.565185828712</v>
      </c>
      <c r="AV18" s="11" t="n">
        <v>242.508186971713</v>
      </c>
      <c r="AW18" s="11" t="n">
        <v>240.267191402393</v>
      </c>
      <c r="AX18" s="11" t="n">
        <v>238.420880697216</v>
      </c>
      <c r="AY18" s="11" t="n">
        <v>233.648847019075</v>
      </c>
      <c r="AZ18" s="11" t="n">
        <v>231.362747964747</v>
      </c>
      <c r="BA18" s="11" t="n">
        <v>229.837111090893</v>
      </c>
      <c r="BB18" s="11" t="n">
        <v>228.427388328639</v>
      </c>
      <c r="BC18" s="11" t="n">
        <v>228.07928003275</v>
      </c>
      <c r="BD18" s="11" t="n">
        <v>228.699088682459</v>
      </c>
      <c r="BE18" s="11" t="n">
        <v>229.161463148504</v>
      </c>
      <c r="BF18" s="11" t="n">
        <v>230.10793894352</v>
      </c>
      <c r="BG18" s="11" t="n">
        <v>231.447916755162</v>
      </c>
      <c r="BH18" s="11" t="n">
        <v>232.388094136181</v>
      </c>
      <c r="BI18" s="11" t="n">
        <v>233.815415773972</v>
      </c>
      <c r="BJ18" s="11" t="n">
        <v>235.255497540434</v>
      </c>
      <c r="BK18" s="11" t="n">
        <v>237.264003653673</v>
      </c>
      <c r="BL18" s="11" t="n">
        <v>235.658402740123</v>
      </c>
      <c r="BM18" s="11" t="n">
        <v>232.348388377673</v>
      </c>
      <c r="BN18" s="11" t="n">
        <v>1427.53378401367</v>
      </c>
      <c r="BO18" s="11" t="n">
        <v>1277.38769638719</v>
      </c>
      <c r="BP18" s="11" t="n">
        <v>1186.20785405514</v>
      </c>
      <c r="BQ18" s="11" t="n">
        <v>1144.20433128324</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111.847053547748</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66.6756343230592</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v>
      </c>
      <c r="AM19" s="11" t="n">
        <v>55.5125083077318</v>
      </c>
      <c r="AN19" s="11" t="n">
        <v>54.6813469642305</v>
      </c>
      <c r="AO19" s="11" t="n">
        <v>54.0057020605532</v>
      </c>
      <c r="AP19" s="11" t="n">
        <v>54.1381455208381</v>
      </c>
      <c r="AQ19" s="11" t="n">
        <v>52.9257067662599</v>
      </c>
      <c r="AR19" s="11" t="n">
        <v>51.9257175675755</v>
      </c>
      <c r="AS19" s="11" t="n">
        <v>50.9087717523742</v>
      </c>
      <c r="AT19" s="11" t="n">
        <v>49.9666155111577</v>
      </c>
      <c r="AU19" s="11" t="n">
        <v>49.0305349114325</v>
      </c>
      <c r="AV19" s="11" t="n">
        <v>48.1797662202813</v>
      </c>
      <c r="AW19" s="11" t="n">
        <v>47.4456231559288</v>
      </c>
      <c r="AX19" s="11" t="n">
        <v>46.7211825752369</v>
      </c>
      <c r="AY19" s="11" t="n">
        <v>46.0020985665191</v>
      </c>
      <c r="AZ19" s="11" t="n">
        <v>45.3154864492009</v>
      </c>
      <c r="BA19" s="11" t="n">
        <v>44.7317970389833</v>
      </c>
      <c r="BB19" s="11" t="n">
        <v>44.1666536533771</v>
      </c>
      <c r="BC19" s="11" t="n">
        <v>43.6444404179344</v>
      </c>
      <c r="BD19" s="11" t="n">
        <v>43.1295681720498</v>
      </c>
      <c r="BE19" s="11" t="n">
        <v>42.6547666904909</v>
      </c>
      <c r="BF19" s="11" t="n">
        <v>42.2475828044918</v>
      </c>
      <c r="BG19" s="11" t="n">
        <v>41.8617769407557</v>
      </c>
      <c r="BH19" s="11" t="n">
        <v>41.4924410018286</v>
      </c>
      <c r="BI19" s="11" t="n">
        <v>41.1398612704239</v>
      </c>
      <c r="BJ19" s="11" t="n">
        <v>40.7983890450438</v>
      </c>
      <c r="BK19" s="11" t="n">
        <v>40.4779581462877</v>
      </c>
      <c r="BL19" s="11" t="n">
        <v>40.1808839151084</v>
      </c>
      <c r="BM19" s="11" t="n">
        <v>39.9039937867458</v>
      </c>
      <c r="BN19" s="11" t="n">
        <v>275.353160824022</v>
      </c>
      <c r="BO19" s="11" t="n">
        <v>254.7573465088</v>
      </c>
      <c r="BP19" s="11" t="n">
        <v>233.664156967167</v>
      </c>
      <c r="BQ19" s="11" t="n">
        <v>218.327225972836</v>
      </c>
    </row>
    <row r="20" customFormat="false" ht="13.8" hidden="false" customHeight="false" outlineLevel="0" collapsed="false">
      <c r="A20" s="11" t="s">
        <v>155</v>
      </c>
      <c r="B20" s="11" t="s">
        <v>138</v>
      </c>
      <c r="C20" s="11" t="s">
        <v>139</v>
      </c>
      <c r="D20" s="12"/>
      <c r="E20" s="11" t="n">
        <v>44.0704550397255</v>
      </c>
      <c r="F20" s="11" t="n">
        <v>44.1797412823124</v>
      </c>
      <c r="G20" s="11" t="n">
        <v>39.6961971076383</v>
      </c>
      <c r="H20" s="11" t="n">
        <v>35.8885563050247</v>
      </c>
      <c r="I20" s="11" t="n">
        <v>36.4843849417418</v>
      </c>
      <c r="J20" s="11" t="n">
        <v>35.2609430810058</v>
      </c>
      <c r="K20" s="11" t="n">
        <v>35.2373807644579</v>
      </c>
      <c r="L20" s="11" t="n">
        <v>35.4827508380865</v>
      </c>
      <c r="M20" s="11" t="n">
        <v>35.5123899483833</v>
      </c>
      <c r="N20" s="11" t="n">
        <v>26.9725209280125</v>
      </c>
      <c r="O20" s="11" t="n">
        <v>26.4401263932034</v>
      </c>
      <c r="P20" s="11" t="n">
        <v>25.1975850754958</v>
      </c>
      <c r="Q20" s="11" t="n">
        <v>23.6909797075244</v>
      </c>
      <c r="R20" s="11" t="n">
        <v>23.3321043111328</v>
      </c>
      <c r="S20" s="11" t="n">
        <v>23.8193639895213</v>
      </c>
      <c r="T20" s="11" t="n">
        <v>22.8993495466567</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20.1970291565975</v>
      </c>
      <c r="AD20" s="11" t="n">
        <v>20.0764785825238</v>
      </c>
      <c r="AE20" s="11" t="n">
        <v>19.6185628297959</v>
      </c>
      <c r="AF20" s="11" t="n">
        <v>19.8843934118169</v>
      </c>
      <c r="AG20" s="11" t="n">
        <v>19.761921421575</v>
      </c>
      <c r="AH20" s="11" t="n">
        <v>19.8144066150671</v>
      </c>
      <c r="AI20" s="11" t="n">
        <v>18.779891993834</v>
      </c>
      <c r="AJ20" s="11" t="n">
        <v>19.1537538803101</v>
      </c>
      <c r="AK20" s="11" t="n">
        <v>18.2676513371754</v>
      </c>
      <c r="AL20" s="11" t="n">
        <v>18.0936851388269</v>
      </c>
      <c r="AM20" s="11" t="n">
        <v>18.376947460324</v>
      </c>
      <c r="AN20" s="11" t="n">
        <v>18.3554851406328</v>
      </c>
      <c r="AO20" s="11" t="n">
        <v>18.3402537110672</v>
      </c>
      <c r="AP20" s="11" t="n">
        <v>18.2977297984058</v>
      </c>
      <c r="AQ20" s="11" t="n">
        <v>18.1748528466039</v>
      </c>
      <c r="AR20" s="11" t="n">
        <v>18.1496538210499</v>
      </c>
      <c r="AS20" s="11" t="n">
        <v>18.0830977089436</v>
      </c>
      <c r="AT20" s="11" t="n">
        <v>18.0054362131586</v>
      </c>
      <c r="AU20" s="11" t="n">
        <v>17.8667160114106</v>
      </c>
      <c r="AV20" s="11" t="n">
        <v>17.7810448951337</v>
      </c>
      <c r="AW20" s="11" t="n">
        <v>17.710102348681</v>
      </c>
      <c r="AX20" s="11" t="n">
        <v>17.6068303165952</v>
      </c>
      <c r="AY20" s="11" t="n">
        <v>17.5062157757744</v>
      </c>
      <c r="AZ20" s="11" t="n">
        <v>17.3244630275368</v>
      </c>
      <c r="BA20" s="11" t="n">
        <v>17.2519206832296</v>
      </c>
      <c r="BB20" s="11" t="n">
        <v>17.1713059151235</v>
      </c>
      <c r="BC20" s="11" t="n">
        <v>17.0985977804435</v>
      </c>
      <c r="BD20" s="11" t="n">
        <v>17.0191629736723</v>
      </c>
      <c r="BE20" s="11" t="n">
        <v>16.9458278610357</v>
      </c>
      <c r="BF20" s="11" t="n">
        <v>16.8900974178078</v>
      </c>
      <c r="BG20" s="11" t="n">
        <v>16.8388441269257</v>
      </c>
      <c r="BH20" s="11" t="n">
        <v>16.7872531374747</v>
      </c>
      <c r="BI20" s="11" t="n">
        <v>16.7406351500985</v>
      </c>
      <c r="BJ20" s="11" t="n">
        <v>16.6928123942258</v>
      </c>
      <c r="BK20" s="11" t="n">
        <v>16.6422927911431</v>
      </c>
      <c r="BL20" s="11" t="n">
        <v>16.5935457198875</v>
      </c>
      <c r="BM20" s="11" t="n">
        <v>16.5452418960093</v>
      </c>
      <c r="BN20" s="11" t="n">
        <v>91.4641012492567</v>
      </c>
      <c r="BO20" s="11" t="n">
        <v>90.2797566011666</v>
      </c>
      <c r="BP20" s="11" t="n">
        <v>87.928656363721</v>
      </c>
      <c r="BQ20" s="11" t="n">
        <v>85.4868152135046</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10.4979550302191</v>
      </c>
      <c r="Z21" s="11" t="n">
        <v>11.0654107151362</v>
      </c>
      <c r="AA21" s="11" t="n">
        <v>11.5161328830887</v>
      </c>
      <c r="AB21" s="11" t="n">
        <v>11.6114703501195</v>
      </c>
      <c r="AC21" s="11" t="n">
        <v>11.1356108294494</v>
      </c>
      <c r="AD21" s="11" t="n">
        <v>10.9498065093755</v>
      </c>
      <c r="AE21" s="11" t="n">
        <v>10.6141423946229</v>
      </c>
      <c r="AF21" s="11" t="n">
        <v>10.121289044966</v>
      </c>
      <c r="AG21" s="11" t="n">
        <v>9.66952181906882</v>
      </c>
      <c r="AH21" s="11" t="n">
        <v>8.98580877911218</v>
      </c>
      <c r="AI21" s="11" t="n">
        <v>8.15976812106435</v>
      </c>
      <c r="AJ21" s="11" t="n">
        <v>7.58436627904264</v>
      </c>
      <c r="AK21" s="11" t="n">
        <v>7.06898863688572</v>
      </c>
      <c r="AL21" s="11" t="n">
        <v>6.59748890429982</v>
      </c>
      <c r="AM21" s="11" t="n">
        <v>6.14657126839515</v>
      </c>
      <c r="AN21" s="11" t="n">
        <v>5.78995641676736</v>
      </c>
      <c r="AO21" s="11" t="n">
        <v>5.45582110094932</v>
      </c>
      <c r="AP21" s="11" t="n">
        <v>5.13969410232909</v>
      </c>
      <c r="AQ21" s="11" t="n">
        <v>4.83421727365179</v>
      </c>
      <c r="AR21" s="11" t="n">
        <v>4.55598570157372</v>
      </c>
      <c r="AS21" s="11" t="n">
        <v>4.31470265813777</v>
      </c>
      <c r="AT21" s="11" t="n">
        <v>4.09884472060176</v>
      </c>
      <c r="AU21" s="11" t="n">
        <v>3.89091088317771</v>
      </c>
      <c r="AV21" s="11" t="n">
        <v>3.70734813175857</v>
      </c>
      <c r="AW21" s="11" t="n">
        <v>3.53638632023551</v>
      </c>
      <c r="AX21" s="11" t="n">
        <v>3.38044042697567</v>
      </c>
      <c r="AY21" s="11" t="n">
        <v>3.24624656805012</v>
      </c>
      <c r="AZ21" s="11" t="n">
        <v>3.14013667374679</v>
      </c>
      <c r="BA21" s="11" t="n">
        <v>3.06190005083168</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1.48366130882975</v>
      </c>
      <c r="F22" s="11" t="n">
        <v>1.24305334298279</v>
      </c>
      <c r="G22" s="11" t="n">
        <v>0.617640551647897</v>
      </c>
      <c r="H22" s="11" t="n">
        <v>0.538700846476154</v>
      </c>
      <c r="I22" s="11" t="n">
        <v>0.546409279966551</v>
      </c>
      <c r="J22" s="11" t="n">
        <v>0.533270281772292</v>
      </c>
      <c r="K22" s="11" t="n">
        <v>0.531928867885412</v>
      </c>
      <c r="L22" s="11" t="n">
        <v>0.44692564402011</v>
      </c>
      <c r="M22" s="11" t="n">
        <v>0.43528910732139</v>
      </c>
      <c r="N22" s="11" t="n">
        <v>0.412312802276656</v>
      </c>
      <c r="O22" s="11" t="n">
        <v>0.51862161306472</v>
      </c>
      <c r="P22" s="11" t="n">
        <v>0.432138729457178</v>
      </c>
      <c r="Q22" s="11" t="n">
        <v>0.364067786446408</v>
      </c>
      <c r="R22" s="11" t="n">
        <v>0.318513971049458</v>
      </c>
      <c r="S22" s="11" t="n">
        <v>0.402942811428176</v>
      </c>
      <c r="T22" s="11" t="n">
        <v>0.368307653921605</v>
      </c>
      <c r="U22" s="11" t="n">
        <v>0.369821205860997</v>
      </c>
      <c r="V22" s="11" t="n">
        <v>0.277694286963564</v>
      </c>
      <c r="W22" s="11" t="n">
        <v>0.255311612882481</v>
      </c>
      <c r="X22" s="11" t="n">
        <v>0.195240026958578</v>
      </c>
      <c r="Y22" s="11" t="n">
        <v>0.281496039558142</v>
      </c>
      <c r="Z22" s="11" t="n">
        <v>0.399303588048535</v>
      </c>
      <c r="AA22" s="11" t="n">
        <v>0.243138181819986</v>
      </c>
      <c r="AB22" s="11" t="n">
        <v>0.294217429839836</v>
      </c>
      <c r="AC22" s="11" t="n">
        <v>0.23782779605641</v>
      </c>
      <c r="AD22" s="11" t="n">
        <v>0.274427975434271</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0.145322964863699</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0.788373788456026</v>
      </c>
      <c r="BP22" s="11" t="n">
        <v>0.788373788456026</v>
      </c>
      <c r="BQ22" s="11" t="n">
        <v>0.788373788456026</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0.426418736992623</v>
      </c>
      <c r="AE23" s="11" t="n">
        <v>0.458386532676318</v>
      </c>
      <c r="AF23" s="11" t="n">
        <v>0.460093295564997</v>
      </c>
      <c r="AG23" s="11" t="n">
        <v>0.565037427403676</v>
      </c>
      <c r="AH23" s="11" t="n">
        <v>0.49719676355469</v>
      </c>
      <c r="AI23" s="11" t="n">
        <v>0.425406162786779</v>
      </c>
      <c r="AJ23" s="11" t="n">
        <v>0.38749956929647</v>
      </c>
      <c r="AK23" s="11" t="n">
        <v>0.333442729385777</v>
      </c>
      <c r="AL23" s="11" t="n">
        <v>0.301791676439176</v>
      </c>
      <c r="AM23" s="11" t="n">
        <v>0.307854862676676</v>
      </c>
      <c r="AN23" s="11" t="n">
        <v>0.314290204270113</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0.372815184884234</v>
      </c>
      <c r="AW23" s="11" t="n">
        <v>0.380977508595361</v>
      </c>
      <c r="AX23" s="11" t="n">
        <v>0.389343890399265</v>
      </c>
      <c r="AY23" s="11" t="n">
        <v>0.389343890399265</v>
      </c>
      <c r="AZ23" s="11" t="n">
        <v>0.389343890399265</v>
      </c>
      <c r="BA23" s="11" t="n">
        <v>0.389343890399265</v>
      </c>
      <c r="BB23" s="11" t="n">
        <v>0.389343890399265</v>
      </c>
      <c r="BC23" s="11" t="n">
        <v>0.389343890399265</v>
      </c>
      <c r="BD23" s="11" t="n">
        <v>0.389343890399265</v>
      </c>
      <c r="BE23" s="11" t="n">
        <v>0.389343890399265</v>
      </c>
      <c r="BF23" s="11" t="n">
        <v>0.389343890399265</v>
      </c>
      <c r="BG23" s="11" t="n">
        <v>0.389343890399265</v>
      </c>
      <c r="BH23" s="11" t="n">
        <v>0.389343890399265</v>
      </c>
      <c r="BI23" s="11" t="n">
        <v>0.389343890399265</v>
      </c>
      <c r="BJ23" s="11" t="n">
        <v>0.389343890399265</v>
      </c>
      <c r="BK23" s="11" t="n">
        <v>0.389343890399265</v>
      </c>
      <c r="BL23" s="11" t="n">
        <v>0.389343890399265</v>
      </c>
      <c r="BM23" s="11" t="n">
        <v>0.389343890399265</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333.205764375449</v>
      </c>
      <c r="AN25" s="11" t="n">
        <v>326.503541449964</v>
      </c>
      <c r="AO25" s="11" t="n">
        <v>319.511259123417</v>
      </c>
      <c r="AP25" s="11" t="n">
        <v>313.432399775891</v>
      </c>
      <c r="AQ25" s="11" t="n">
        <v>306.774182662071</v>
      </c>
      <c r="AR25" s="11" t="n">
        <v>301.740873697113</v>
      </c>
      <c r="AS25" s="11" t="n">
        <v>295.766929416564</v>
      </c>
      <c r="AT25" s="11" t="n">
        <v>290.053106454041</v>
      </c>
      <c r="AU25" s="11" t="n">
        <v>285.478969040169</v>
      </c>
      <c r="AV25" s="11" t="n">
        <v>281.778489435024</v>
      </c>
      <c r="AW25" s="11" t="n">
        <v>279.075074937514</v>
      </c>
      <c r="AX25" s="11" t="n">
        <v>277.083673129384</v>
      </c>
      <c r="AY25" s="11" t="n">
        <v>271.764897397563</v>
      </c>
      <c r="AZ25" s="11" t="n">
        <v>268.768279887708</v>
      </c>
      <c r="BA25" s="11" t="n">
        <v>267.1323572985</v>
      </c>
      <c r="BB25" s="11" t="n">
        <v>265.81872294604</v>
      </c>
      <c r="BC25" s="11" t="n">
        <v>265.254040776706</v>
      </c>
      <c r="BD25" s="11" t="n">
        <v>266.419115067548</v>
      </c>
      <c r="BE25" s="11" t="n">
        <v>267.482803971406</v>
      </c>
      <c r="BF25" s="11" t="n">
        <v>268.41932232516</v>
      </c>
      <c r="BG25" s="11" t="n">
        <v>269.514124679006</v>
      </c>
      <c r="BH25" s="11" t="n">
        <v>270.044364420031</v>
      </c>
      <c r="BI25" s="11" t="n">
        <v>271.032167519282</v>
      </c>
      <c r="BJ25" s="11" t="n">
        <v>271.802755914694</v>
      </c>
      <c r="BK25" s="11" t="n">
        <v>274.080215912227</v>
      </c>
      <c r="BL25" s="11" t="n">
        <v>271.373289126427</v>
      </c>
      <c r="BM25" s="11" t="n">
        <v>267.547917335975</v>
      </c>
      <c r="BN25" s="11" t="n">
        <v>1634.58711325398</v>
      </c>
      <c r="BO25" s="11" t="n">
        <v>1479.81406126996</v>
      </c>
      <c r="BP25" s="11" t="n">
        <v>1378.47041478719</v>
      </c>
      <c r="BQ25" s="11" t="n">
        <v>1332.1070400602</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140.220832717651</v>
      </c>
      <c r="J26" s="11" t="n">
        <v>141.62570447565</v>
      </c>
      <c r="K26" s="11" t="n">
        <v>141.138614388231</v>
      </c>
      <c r="L26" s="11" t="n">
        <v>138.524436182827</v>
      </c>
      <c r="M26" s="11" t="n">
        <v>135.462212228555</v>
      </c>
      <c r="N26" s="11" t="n">
        <v>129.859065263225</v>
      </c>
      <c r="O26" s="11" t="n">
        <v>123.920486839629</v>
      </c>
      <c r="P26" s="11" t="n">
        <v>118.64001130189</v>
      </c>
      <c r="Q26" s="11" t="n">
        <v>116.77678020067</v>
      </c>
      <c r="R26" s="11" t="n">
        <v>111.853160224235</v>
      </c>
      <c r="S26" s="11" t="n">
        <v>107.03393682204</v>
      </c>
      <c r="T26" s="11" t="n">
        <v>102.664117491926</v>
      </c>
      <c r="U26" s="11" t="n">
        <v>99.2297893209561</v>
      </c>
      <c r="V26" s="11" t="n">
        <v>94.7753153178419</v>
      </c>
      <c r="W26" s="11" t="n">
        <v>88.4981359307023</v>
      </c>
      <c r="X26" s="11" t="n">
        <v>83.9244036183387</v>
      </c>
      <c r="Y26" s="11" t="n">
        <v>78.667322755185</v>
      </c>
      <c r="Z26" s="11" t="n">
        <v>75.6712751364844</v>
      </c>
      <c r="AA26" s="11" t="n">
        <v>73.8280122064821</v>
      </c>
      <c r="AB26" s="11" t="n">
        <v>68.980177011707</v>
      </c>
      <c r="AC26" s="11" t="n">
        <v>66.6821086932931</v>
      </c>
      <c r="AD26" s="11" t="n">
        <v>65.4783580021182</v>
      </c>
      <c r="AE26" s="11" t="n">
        <v>63.0801894570004</v>
      </c>
      <c r="AF26" s="11" t="n">
        <v>63.35861040571</v>
      </c>
      <c r="AG26" s="11" t="n">
        <v>62.7602337118584</v>
      </c>
      <c r="AH26" s="11" t="n">
        <v>62.4134940187284</v>
      </c>
      <c r="AI26" s="11" t="n">
        <v>59.9984424095154</v>
      </c>
      <c r="AJ26" s="11" t="n">
        <v>58.7276734594613</v>
      </c>
      <c r="AK26" s="11" t="n">
        <v>58.0898467243932</v>
      </c>
      <c r="AL26" s="11" t="n">
        <v>57.0200585910277</v>
      </c>
      <c r="AM26" s="11" t="n">
        <v>55.5172727235413</v>
      </c>
      <c r="AN26" s="11" t="n">
        <v>54.6860983871134</v>
      </c>
      <c r="AO26" s="11" t="n">
        <v>54.0104009465568</v>
      </c>
      <c r="AP26" s="11" t="n">
        <v>54.1428125012225</v>
      </c>
      <c r="AQ26" s="11" t="n">
        <v>52.9302881258012</v>
      </c>
      <c r="AR26" s="11" t="n">
        <v>51.9303030117995</v>
      </c>
      <c r="AS26" s="11" t="n">
        <v>50.913268144531</v>
      </c>
      <c r="AT26" s="11" t="n">
        <v>49.9710922433828</v>
      </c>
      <c r="AU26" s="11" t="n">
        <v>49.0349739250763</v>
      </c>
      <c r="AV26" s="11" t="n">
        <v>48.1841401624092</v>
      </c>
      <c r="AW26" s="11" t="n">
        <v>47.4499450870203</v>
      </c>
      <c r="AX26" s="11" t="n">
        <v>46.725480989749</v>
      </c>
      <c r="AY26" s="11" t="n">
        <v>46.00634932619</v>
      </c>
      <c r="AZ26" s="11" t="n">
        <v>45.3196778970628</v>
      </c>
      <c r="BA26" s="11" t="n">
        <v>44.735966542577</v>
      </c>
      <c r="BB26" s="11" t="n">
        <v>44.1708197327348</v>
      </c>
      <c r="BC26" s="11" t="n">
        <v>43.6485761080934</v>
      </c>
      <c r="BD26" s="11" t="n">
        <v>43.1337265748769</v>
      </c>
      <c r="BE26" s="11" t="n">
        <v>42.6589500826061</v>
      </c>
      <c r="BF26" s="11" t="n">
        <v>42.2516966516497</v>
      </c>
      <c r="BG26" s="11" t="n">
        <v>41.8657998157793</v>
      </c>
      <c r="BH26" s="11" t="n">
        <v>41.4963611811061</v>
      </c>
      <c r="BI26" s="11" t="n">
        <v>41.1436777069826</v>
      </c>
      <c r="BJ26" s="11" t="n">
        <v>40.8020847701609</v>
      </c>
      <c r="BK26" s="11" t="n">
        <v>40.4816023632112</v>
      </c>
      <c r="BL26" s="11" t="n">
        <v>40.1843807801626</v>
      </c>
      <c r="BM26" s="11" t="n">
        <v>39.9073897045168</v>
      </c>
      <c r="BN26" s="11" t="n">
        <v>275.376643149462</v>
      </c>
      <c r="BO26" s="11" t="n">
        <v>254.779925450591</v>
      </c>
      <c r="BP26" s="11" t="n">
        <v>233.685593462431</v>
      </c>
      <c r="BQ26" s="11" t="n">
        <v>218.348039040888</v>
      </c>
    </row>
    <row r="27" customFormat="false" ht="13.8" hidden="false" customHeight="false" outlineLevel="0" collapsed="false">
      <c r="A27" s="11" t="s">
        <v>155</v>
      </c>
      <c r="B27" s="11" t="s">
        <v>140</v>
      </c>
      <c r="C27" s="11" t="s">
        <v>139</v>
      </c>
      <c r="D27" s="12"/>
      <c r="E27" s="11" t="n">
        <v>44.3002234775336</v>
      </c>
      <c r="F27" s="11" t="n">
        <v>44.4052277252299</v>
      </c>
      <c r="G27" s="11" t="n">
        <v>39.9378274497614</v>
      </c>
      <c r="H27" s="11" t="n">
        <v>36.1377812173721</v>
      </c>
      <c r="I27" s="11" t="n">
        <v>36.733575590136</v>
      </c>
      <c r="J27" s="11" t="n">
        <v>35.5262647513158</v>
      </c>
      <c r="K27" s="11" t="n">
        <v>35.5202840220701</v>
      </c>
      <c r="L27" s="11" t="n">
        <v>35.7888793937191</v>
      </c>
      <c r="M27" s="11" t="n">
        <v>35.8446693081235</v>
      </c>
      <c r="N27" s="11" t="n">
        <v>27.2931949805531</v>
      </c>
      <c r="O27" s="11" t="n">
        <v>26.7745080049933</v>
      </c>
      <c r="P27" s="11" t="n">
        <v>25.5332295216333</v>
      </c>
      <c r="Q27" s="11" t="n">
        <v>24.0080781455952</v>
      </c>
      <c r="R27" s="11" t="n">
        <v>23.6493473576149</v>
      </c>
      <c r="S27" s="11" t="n">
        <v>24.1732056787632</v>
      </c>
      <c r="T27" s="11" t="n">
        <v>23.2738708129377</v>
      </c>
      <c r="U27" s="11" t="n">
        <v>22.3723859735233</v>
      </c>
      <c r="V27" s="11" t="n">
        <v>22.3871776205364</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20.0055547697637</v>
      </c>
      <c r="AF27" s="11" t="n">
        <v>20.2878791430463</v>
      </c>
      <c r="AG27" s="11" t="n">
        <v>20.1618254992518</v>
      </c>
      <c r="AH27" s="11" t="n">
        <v>20.2029843423827</v>
      </c>
      <c r="AI27" s="11" t="n">
        <v>18.9789878158805</v>
      </c>
      <c r="AJ27" s="11" t="n">
        <v>19.343581552368</v>
      </c>
      <c r="AK27" s="11" t="n">
        <v>18.5808205022007</v>
      </c>
      <c r="AL27" s="11" t="n">
        <v>18.4485657982639</v>
      </c>
      <c r="AM27" s="11" t="n">
        <v>18.7553341449773</v>
      </c>
      <c r="AN27" s="11" t="n">
        <v>18.7366792527183</v>
      </c>
      <c r="AO27" s="11" t="n">
        <v>18.7173066007919</v>
      </c>
      <c r="AP27" s="11" t="n">
        <v>18.6734699941241</v>
      </c>
      <c r="AQ27" s="11" t="n">
        <v>18.5427960247474</v>
      </c>
      <c r="AR27" s="11" t="n">
        <v>18.5199826318505</v>
      </c>
      <c r="AS27" s="11" t="n">
        <v>18.4450717338882</v>
      </c>
      <c r="AT27" s="11" t="n">
        <v>18.3669998495677</v>
      </c>
      <c r="AU27" s="11" t="n">
        <v>18.2255326023907</v>
      </c>
      <c r="AV27" s="11" t="n">
        <v>18.1341607814838</v>
      </c>
      <c r="AW27" s="11" t="n">
        <v>18.0590536373236</v>
      </c>
      <c r="AX27" s="11" t="n">
        <v>17.9543817309022</v>
      </c>
      <c r="AY27" s="11" t="n">
        <v>17.8490223305823</v>
      </c>
      <c r="AZ27" s="11" t="n">
        <v>17.661137291375</v>
      </c>
      <c r="BA27" s="11" t="n">
        <v>17.587478211508</v>
      </c>
      <c r="BB27" s="11" t="n">
        <v>17.5075445987265</v>
      </c>
      <c r="BC27" s="11" t="n">
        <v>17.4328079204002</v>
      </c>
      <c r="BD27" s="11" t="n">
        <v>17.3577839561871</v>
      </c>
      <c r="BE27" s="11" t="n">
        <v>17.2893123327351</v>
      </c>
      <c r="BF27" s="11" t="n">
        <v>17.2326064683794</v>
      </c>
      <c r="BG27" s="11" t="n">
        <v>17.1783244577886</v>
      </c>
      <c r="BH27" s="11" t="n">
        <v>17.1223090116873</v>
      </c>
      <c r="BI27" s="11" t="n">
        <v>17.0710296748892</v>
      </c>
      <c r="BJ27" s="11" t="n">
        <v>17.016589571304</v>
      </c>
      <c r="BK27" s="11" t="n">
        <v>16.9674338483688</v>
      </c>
      <c r="BL27" s="11" t="n">
        <v>16.9084641793639</v>
      </c>
      <c r="BM27" s="11" t="n">
        <v>16.8549625978414</v>
      </c>
      <c r="BN27" s="11" t="n">
        <v>93.3313557908756</v>
      </c>
      <c r="BO27" s="11" t="n">
        <v>92.1003828424446</v>
      </c>
      <c r="BP27" s="11" t="n">
        <v>89.6577557716669</v>
      </c>
      <c r="BQ27" s="11" t="n">
        <v>87.174927019557</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10.4979550302191</v>
      </c>
      <c r="Z28" s="11" t="n">
        <v>11.0654107151362</v>
      </c>
      <c r="AA28" s="11" t="n">
        <v>11.5161328830887</v>
      </c>
      <c r="AB28" s="11" t="n">
        <v>11.6114703501195</v>
      </c>
      <c r="AC28" s="11" t="n">
        <v>11.1356108294494</v>
      </c>
      <c r="AD28" s="11" t="n">
        <v>10.9498065093755</v>
      </c>
      <c r="AE28" s="11" t="n">
        <v>10.6141423946229</v>
      </c>
      <c r="AF28" s="11" t="n">
        <v>10.121289044966</v>
      </c>
      <c r="AG28" s="11" t="n">
        <v>9.66952181906882</v>
      </c>
      <c r="AH28" s="11" t="n">
        <v>8.98580877911218</v>
      </c>
      <c r="AI28" s="11" t="n">
        <v>8.15976812106435</v>
      </c>
      <c r="AJ28" s="11" t="n">
        <v>7.58436627904264</v>
      </c>
      <c r="AK28" s="11" t="n">
        <v>7.06898863688572</v>
      </c>
      <c r="AL28" s="11" t="n">
        <v>6.59748890429982</v>
      </c>
      <c r="AM28" s="11" t="n">
        <v>6.14657126839515</v>
      </c>
      <c r="AN28" s="11" t="n">
        <v>5.78995641676736</v>
      </c>
      <c r="AO28" s="11" t="n">
        <v>5.45582110094932</v>
      </c>
      <c r="AP28" s="11" t="n">
        <v>5.13969410232909</v>
      </c>
      <c r="AQ28" s="11" t="n">
        <v>4.83421727365179</v>
      </c>
      <c r="AR28" s="11" t="n">
        <v>4.55598570157372</v>
      </c>
      <c r="AS28" s="11" t="n">
        <v>4.31470265813777</v>
      </c>
      <c r="AT28" s="11" t="n">
        <v>4.09884472060176</v>
      </c>
      <c r="AU28" s="11" t="n">
        <v>3.89091088317771</v>
      </c>
      <c r="AV28" s="11" t="n">
        <v>3.70734813175857</v>
      </c>
      <c r="AW28" s="11" t="n">
        <v>3.53638632023551</v>
      </c>
      <c r="AX28" s="11" t="n">
        <v>3.38044042697567</v>
      </c>
      <c r="AY28" s="11" t="n">
        <v>3.24624656805012</v>
      </c>
      <c r="AZ28" s="11" t="n">
        <v>3.14013667374679</v>
      </c>
      <c r="BA28" s="11" t="n">
        <v>3.06190005083168</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1.48366130882975</v>
      </c>
      <c r="F29" s="11" t="n">
        <v>1.24305334298279</v>
      </c>
      <c r="G29" s="11" t="n">
        <v>0.617640551647897</v>
      </c>
      <c r="H29" s="11" t="n">
        <v>0.538700846476154</v>
      </c>
      <c r="I29" s="11" t="n">
        <v>0.546409279966551</v>
      </c>
      <c r="J29" s="11" t="n">
        <v>0.533270281772292</v>
      </c>
      <c r="K29" s="11" t="n">
        <v>0.531928867885412</v>
      </c>
      <c r="L29" s="11" t="n">
        <v>0.44692564402011</v>
      </c>
      <c r="M29" s="11" t="n">
        <v>0.43528910732139</v>
      </c>
      <c r="N29" s="11" t="n">
        <v>0.412312802276656</v>
      </c>
      <c r="O29" s="11" t="n">
        <v>0.51862161306472</v>
      </c>
      <c r="P29" s="11" t="n">
        <v>0.432138729457178</v>
      </c>
      <c r="Q29" s="11" t="n">
        <v>0.364067786446408</v>
      </c>
      <c r="R29" s="11" t="n">
        <v>0.318513971049458</v>
      </c>
      <c r="S29" s="11" t="n">
        <v>0.402942811428176</v>
      </c>
      <c r="T29" s="11" t="n">
        <v>0.368307653921605</v>
      </c>
      <c r="U29" s="11" t="n">
        <v>0.369821205860997</v>
      </c>
      <c r="V29" s="11" t="n">
        <v>0.277694286963564</v>
      </c>
      <c r="W29" s="11" t="n">
        <v>0.255311612882481</v>
      </c>
      <c r="X29" s="11" t="n">
        <v>0.195240026958578</v>
      </c>
      <c r="Y29" s="11" t="n">
        <v>0.281496039558142</v>
      </c>
      <c r="Z29" s="11" t="n">
        <v>0.399303588048535</v>
      </c>
      <c r="AA29" s="11" t="n">
        <v>0.243138181819986</v>
      </c>
      <c r="AB29" s="11" t="n">
        <v>0.294217429839836</v>
      </c>
      <c r="AC29" s="11" t="n">
        <v>0.23782779605641</v>
      </c>
      <c r="AD29" s="11" t="n">
        <v>0.274427975434271</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0.145322964863699</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0.788373788456026</v>
      </c>
      <c r="BP29" s="11" t="n">
        <v>0.788373788456026</v>
      </c>
      <c r="BQ29" s="11" t="n">
        <v>0.788373788456026</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0.426418736992623</v>
      </c>
      <c r="AE30" s="11" t="n">
        <v>0.458386532676318</v>
      </c>
      <c r="AF30" s="11" t="n">
        <v>0.460093295564997</v>
      </c>
      <c r="AG30" s="11" t="n">
        <v>0.565037427403676</v>
      </c>
      <c r="AH30" s="11" t="n">
        <v>0.49719676355469</v>
      </c>
      <c r="AI30" s="11" t="n">
        <v>0.425406162786779</v>
      </c>
      <c r="AJ30" s="11" t="n">
        <v>0.38749956929647</v>
      </c>
      <c r="AK30" s="11" t="n">
        <v>0.333442729385777</v>
      </c>
      <c r="AL30" s="11" t="n">
        <v>0.301791676439176</v>
      </c>
      <c r="AM30" s="11" t="n">
        <v>0.307854862676676</v>
      </c>
      <c r="AN30" s="11" t="n">
        <v>0.314290204270113</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0.372815184884234</v>
      </c>
      <c r="AW30" s="11" t="n">
        <v>0.380977508595361</v>
      </c>
      <c r="AX30" s="11" t="n">
        <v>0.389343890399265</v>
      </c>
      <c r="AY30" s="11" t="n">
        <v>0.389343890399265</v>
      </c>
      <c r="AZ30" s="11" t="n">
        <v>0.389343890399265</v>
      </c>
      <c r="BA30" s="11" t="n">
        <v>0.389343890399265</v>
      </c>
      <c r="BB30" s="11" t="n">
        <v>0.389343890399265</v>
      </c>
      <c r="BC30" s="11" t="n">
        <v>0.389343890399265</v>
      </c>
      <c r="BD30" s="11" t="n">
        <v>0.389343890399265</v>
      </c>
      <c r="BE30" s="11" t="n">
        <v>0.389343890399265</v>
      </c>
      <c r="BF30" s="11" t="n">
        <v>0.389343890399265</v>
      </c>
      <c r="BG30" s="11" t="n">
        <v>0.389343890399265</v>
      </c>
      <c r="BH30" s="11" t="n">
        <v>0.389343890399265</v>
      </c>
      <c r="BI30" s="11" t="n">
        <v>0.389343890399265</v>
      </c>
      <c r="BJ30" s="11" t="n">
        <v>0.389343890399265</v>
      </c>
      <c r="BK30" s="11" t="n">
        <v>0.389343890399265</v>
      </c>
      <c r="BL30" s="11" t="n">
        <v>0.389343890399265</v>
      </c>
      <c r="BM30" s="11" t="n">
        <v>0.389343890399265</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32.3429075604533</v>
      </c>
      <c r="H33" s="11" t="n">
        <v>32.2867215516015</v>
      </c>
      <c r="I33" s="11" t="n">
        <v>32.4376625870691</v>
      </c>
      <c r="J33" s="11" t="n">
        <v>32.2069060308038</v>
      </c>
      <c r="K33" s="11" t="n">
        <v>32.8262420298166</v>
      </c>
      <c r="L33" s="11" t="n">
        <v>32.5783502819476</v>
      </c>
      <c r="M33" s="11" t="n">
        <v>32.6734220770182</v>
      </c>
      <c r="N33" s="11" t="n">
        <v>32.5130465142707</v>
      </c>
      <c r="O33" s="11" t="n">
        <v>31.5208846643531</v>
      </c>
      <c r="P33" s="11" t="n">
        <v>29.9473573096137</v>
      </c>
      <c r="Q33" s="11" t="n">
        <v>29.4891220094733</v>
      </c>
      <c r="R33" s="11" t="n">
        <v>29.7648113387233</v>
      </c>
      <c r="S33" s="11" t="n">
        <v>30.0129038331228</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27.8900628145383</v>
      </c>
      <c r="AK33" s="11" t="n">
        <v>27.7847764250513</v>
      </c>
      <c r="AL33" s="11" t="n">
        <v>27.2034581433579</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16.3728090246473</v>
      </c>
      <c r="F34" s="11" t="n">
        <v>16.3652204738222</v>
      </c>
      <c r="G34" s="11" t="n">
        <v>15.7880323748618</v>
      </c>
      <c r="H34" s="11" t="n">
        <v>15.3872752709717</v>
      </c>
      <c r="I34" s="11" t="n">
        <v>15.9578378738726</v>
      </c>
      <c r="J34" s="11" t="n">
        <v>16.0073151624586</v>
      </c>
      <c r="K34" s="11" t="n">
        <v>16.2385566670362</v>
      </c>
      <c r="L34" s="11" t="n">
        <v>16.4227129027924</v>
      </c>
      <c r="M34" s="11" t="n">
        <v>16.2079933627153</v>
      </c>
      <c r="N34" s="11" t="n">
        <v>16.2277371694367</v>
      </c>
      <c r="O34" s="11" t="n">
        <v>15.5059070589611</v>
      </c>
      <c r="P34" s="11" t="n">
        <v>14.9262809717382</v>
      </c>
      <c r="Q34" s="11" t="n">
        <v>14.9166492139828</v>
      </c>
      <c r="R34" s="11" t="n">
        <v>14.8411843098522</v>
      </c>
      <c r="S34" s="11" t="n">
        <v>14.6249013723468</v>
      </c>
      <c r="T34" s="11" t="n">
        <v>14.319878479678</v>
      </c>
      <c r="U34" s="11" t="n">
        <v>13.9484125589319</v>
      </c>
      <c r="V34" s="11" t="n">
        <v>13.6898865319666</v>
      </c>
      <c r="W34" s="11" t="n">
        <v>13.5903470722667</v>
      </c>
      <c r="X34" s="11" t="n">
        <v>13.5319011034865</v>
      </c>
      <c r="Y34" s="11" t="n">
        <v>13.7591024678466</v>
      </c>
      <c r="Z34" s="11" t="n">
        <v>13.7877731979964</v>
      </c>
      <c r="AA34" s="11" t="n">
        <v>13.6595715469706</v>
      </c>
      <c r="AB34" s="11" t="n">
        <v>13.7111904939868</v>
      </c>
      <c r="AC34" s="11" t="n">
        <v>14.2109240717554</v>
      </c>
      <c r="AD34" s="11" t="n">
        <v>14.1380536664966</v>
      </c>
      <c r="AE34" s="11" t="n">
        <v>13.813109346583</v>
      </c>
      <c r="AF34" s="11" t="n">
        <v>14.0170958536443</v>
      </c>
      <c r="AG34" s="11" t="n">
        <v>13.8566444133239</v>
      </c>
      <c r="AH34" s="11" t="n">
        <v>13.9485106648271</v>
      </c>
      <c r="AI34" s="11" t="n">
        <v>13.1569075442857</v>
      </c>
      <c r="AJ34" s="11" t="n">
        <v>13.478563412585</v>
      </c>
      <c r="AK34" s="11" t="n">
        <v>12.7290815643072</v>
      </c>
      <c r="AL34" s="11" t="n">
        <v>12.5191024192604</v>
      </c>
      <c r="AM34" s="11" t="n">
        <v>12.5045953938355</v>
      </c>
      <c r="AN34" s="11" t="n">
        <v>12.5098559697839</v>
      </c>
      <c r="AO34" s="11" t="n">
        <v>12.5217901091835</v>
      </c>
      <c r="AP34" s="11" t="n">
        <v>12.5376828555556</v>
      </c>
      <c r="AQ34" s="11" t="n">
        <v>12.5541577344059</v>
      </c>
      <c r="AR34" s="11" t="n">
        <v>12.5678684965442</v>
      </c>
      <c r="AS34" s="11" t="n">
        <v>12.5756416332501</v>
      </c>
      <c r="AT34" s="11" t="n">
        <v>12.5570215325553</v>
      </c>
      <c r="AU34" s="11" t="n">
        <v>12.5324913014387</v>
      </c>
      <c r="AV34" s="11" t="n">
        <v>12.5034970082266</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62.7871806981944</v>
      </c>
      <c r="BP34" s="11" t="n">
        <v>62.1470433189398</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78.1856311231803</v>
      </c>
      <c r="AO39" s="11" t="n">
        <v>77.9912003015732</v>
      </c>
      <c r="AP39" s="11" t="n">
        <v>77.8271546480176</v>
      </c>
      <c r="AQ39" s="11" t="n">
        <v>77.5421975944128</v>
      </c>
      <c r="AR39" s="11" t="n">
        <v>77.6075360117696</v>
      </c>
      <c r="AS39" s="11" t="n">
        <v>77.4457425825102</v>
      </c>
      <c r="AT39" s="11" t="n">
        <v>77.4328971281897</v>
      </c>
      <c r="AU39" s="11" t="n">
        <v>77.4157909148294</v>
      </c>
      <c r="AV39" s="11" t="n">
        <v>77.4532521637898</v>
      </c>
      <c r="AW39" s="11" t="n">
        <v>77.5127010734296</v>
      </c>
      <c r="AX39" s="11" t="n">
        <v>77.6296777134004</v>
      </c>
      <c r="AY39" s="11" t="n">
        <v>78.1253250773096</v>
      </c>
      <c r="AZ39" s="11" t="n">
        <v>78.3072599340485</v>
      </c>
      <c r="BA39" s="11" t="n">
        <v>78.5788948034169</v>
      </c>
      <c r="BB39" s="11" t="n">
        <v>78.8609991133362</v>
      </c>
      <c r="BC39" s="11" t="n">
        <v>79.1834289722741</v>
      </c>
      <c r="BD39" s="11" t="n">
        <v>79.5896236827226</v>
      </c>
      <c r="BE39" s="11" t="n">
        <v>79.8441478392674</v>
      </c>
      <c r="BF39" s="11" t="n">
        <v>80.0228091269648</v>
      </c>
      <c r="BG39" s="11" t="n">
        <v>80.3986687928542</v>
      </c>
      <c r="BH39" s="11" t="n">
        <v>80.4439359310025</v>
      </c>
      <c r="BI39" s="11" t="n">
        <v>80.5907486966387</v>
      </c>
      <c r="BJ39" s="11" t="n">
        <v>80.8775585173365</v>
      </c>
      <c r="BK39" s="11" t="n">
        <v>80.9739312723819</v>
      </c>
      <c r="BL39" s="11" t="n">
        <v>80.977358393005</v>
      </c>
      <c r="BM39" s="11" t="n">
        <v>80.9747209901224</v>
      </c>
      <c r="BN39" s="11" t="n">
        <v>381.473275458091</v>
      </c>
      <c r="BO39" s="11" t="n">
        <v>387.444164231712</v>
      </c>
      <c r="BP39" s="11" t="n">
        <v>389.028215961978</v>
      </c>
      <c r="BQ39" s="11" t="n">
        <v>396.057094411017</v>
      </c>
    </row>
    <row r="40" customFormat="false" ht="13.8" hidden="false" customHeight="false" outlineLevel="0" collapsed="false">
      <c r="A40" s="11" t="s">
        <v>154</v>
      </c>
      <c r="B40" s="11" t="s">
        <v>145</v>
      </c>
      <c r="C40" s="11" t="s">
        <v>139</v>
      </c>
      <c r="D40" s="12"/>
      <c r="E40" s="11" t="n">
        <v>1.9343874301736</v>
      </c>
      <c r="F40" s="11" t="n">
        <v>2.09281339675811</v>
      </c>
      <c r="G40" s="11" t="n">
        <v>1.90487465016747</v>
      </c>
      <c r="H40" s="11" t="n">
        <v>2.0400292812682</v>
      </c>
      <c r="I40" s="11" t="n">
        <v>1.7952750564989</v>
      </c>
      <c r="J40" s="11" t="n">
        <v>1.44938866258208</v>
      </c>
      <c r="K40" s="11" t="n">
        <v>1.51122564806966</v>
      </c>
      <c r="L40" s="11" t="n">
        <v>1.3737866328731</v>
      </c>
      <c r="M40" s="11" t="n">
        <v>1.33054053572705</v>
      </c>
      <c r="N40" s="11" t="n">
        <v>1.34823620318337</v>
      </c>
      <c r="O40" s="11" t="n">
        <v>1.18822527709927</v>
      </c>
      <c r="P40" s="11" t="n">
        <v>1.16633944776346</v>
      </c>
      <c r="Q40" s="11" t="n">
        <v>1.01383296021305</v>
      </c>
      <c r="R40" s="11" t="n">
        <v>0.93322154285008</v>
      </c>
      <c r="S40" s="11" t="n">
        <v>0.901857739023368</v>
      </c>
      <c r="T40" s="11" t="n">
        <v>0.812122999703224</v>
      </c>
      <c r="U40" s="11" t="n">
        <v>0.795568701358164</v>
      </c>
      <c r="V40" s="11" t="n">
        <v>0.759026928260703</v>
      </c>
      <c r="W40" s="11" t="n">
        <v>0.760082219226097</v>
      </c>
      <c r="X40" s="11" t="n">
        <v>0.745030177478766</v>
      </c>
      <c r="Y40" s="11" t="n">
        <v>0.829548103312322</v>
      </c>
      <c r="Z40" s="11" t="n">
        <v>0.748458555760482</v>
      </c>
      <c r="AA40" s="11" t="n">
        <v>0.78790328833195</v>
      </c>
      <c r="AB40" s="11" t="n">
        <v>0.825365487716614</v>
      </c>
      <c r="AC40" s="11" t="n">
        <v>0.752002415193222</v>
      </c>
      <c r="AD40" s="11" t="n">
        <v>0.769371740819121</v>
      </c>
      <c r="AE40" s="11" t="n">
        <v>0.797824147621668</v>
      </c>
      <c r="AF40" s="11" t="n">
        <v>0.84420341170345</v>
      </c>
      <c r="AG40" s="11" t="n">
        <v>0.884861076081247</v>
      </c>
      <c r="AH40" s="11" t="n">
        <v>0.866246153304041</v>
      </c>
      <c r="AI40" s="11" t="n">
        <v>0.888298323747082</v>
      </c>
      <c r="AJ40" s="11" t="n">
        <v>0.949358927981948</v>
      </c>
      <c r="AK40" s="11" t="n">
        <v>0.895104911792876</v>
      </c>
      <c r="AL40" s="11" t="n">
        <v>0.844939001939519</v>
      </c>
      <c r="AM40" s="11" t="n">
        <v>0.886295151247936</v>
      </c>
      <c r="AN40" s="11" t="n">
        <v>0.89432383854684</v>
      </c>
      <c r="AO40" s="11" t="n">
        <v>0.896249407911389</v>
      </c>
      <c r="AP40" s="11" t="n">
        <v>0.903187596815901</v>
      </c>
      <c r="AQ40" s="11" t="n">
        <v>0.903282938312458</v>
      </c>
      <c r="AR40" s="11" t="n">
        <v>0.897294659357664</v>
      </c>
      <c r="AS40" s="11" t="n">
        <v>0.884378326315881</v>
      </c>
      <c r="AT40" s="11" t="n">
        <v>0.877391875519958</v>
      </c>
      <c r="AU40" s="11" t="n">
        <v>0.874527142658552</v>
      </c>
      <c r="AV40" s="11" t="n">
        <v>0.86745218846425</v>
      </c>
      <c r="AW40" s="11" t="n">
        <v>0.859057352898087</v>
      </c>
      <c r="AX40" s="11" t="n">
        <v>0.839080278557688</v>
      </c>
      <c r="AY40" s="11" t="n">
        <v>0.816515613465737</v>
      </c>
      <c r="AZ40" s="11" t="n">
        <v>0.785360960907061</v>
      </c>
      <c r="BA40" s="11" t="n">
        <v>0.771906903710407</v>
      </c>
      <c r="BB40" s="11" t="n">
        <v>0.758697910562035</v>
      </c>
      <c r="BC40" s="11" t="n">
        <v>0.746681625640241</v>
      </c>
      <c r="BD40" s="11" t="n">
        <v>0.734680452187337</v>
      </c>
      <c r="BE40" s="11" t="n">
        <v>0.718210338226638</v>
      </c>
      <c r="BF40" s="11" t="n">
        <v>0.709764898669943</v>
      </c>
      <c r="BG40" s="11" t="n">
        <v>0.700431019712924</v>
      </c>
      <c r="BH40" s="11" t="n">
        <v>0.684085608444273</v>
      </c>
      <c r="BI40" s="11" t="n">
        <v>0.666453242384276</v>
      </c>
      <c r="BJ40" s="11" t="n">
        <v>0.650949317194924</v>
      </c>
      <c r="BK40" s="11" t="n">
        <v>0.640901060912756</v>
      </c>
      <c r="BL40" s="11" t="n">
        <v>0.640679316827289</v>
      </c>
      <c r="BM40" s="11" t="n">
        <v>0.640653129694881</v>
      </c>
      <c r="BN40" s="11" t="n">
        <v>4.42499499646159</v>
      </c>
      <c r="BO40" s="11" t="n">
        <v>4.43687494216451</v>
      </c>
      <c r="BP40" s="11" t="n">
        <v>4.16746639429282</v>
      </c>
      <c r="BQ40" s="11" t="n">
        <v>3.73017723032666</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0.727990636052087</v>
      </c>
      <c r="M41" s="11" t="n">
        <v>0.720053765993904</v>
      </c>
      <c r="N41" s="11" t="n">
        <v>0.724653000290284</v>
      </c>
      <c r="O41" s="11" t="n">
        <v>0.704194326455599</v>
      </c>
      <c r="P41" s="11" t="n">
        <v>0.714911564243158</v>
      </c>
      <c r="Q41" s="11" t="n">
        <v>0.688574056524535</v>
      </c>
      <c r="R41" s="11" t="n">
        <v>0.676763604250922</v>
      </c>
      <c r="S41" s="11" t="n">
        <v>0.680768457459176</v>
      </c>
      <c r="T41" s="11" t="n">
        <v>0.670982937926471</v>
      </c>
      <c r="U41" s="11" t="n">
        <v>0.674474885150766</v>
      </c>
      <c r="V41" s="11" t="n">
        <v>0.669230340665885</v>
      </c>
      <c r="W41" s="11" t="n">
        <v>0.673097742682907</v>
      </c>
      <c r="X41" s="11" t="n">
        <v>0.67454986089093</v>
      </c>
      <c r="Y41" s="11" t="n">
        <v>0.6907640100899</v>
      </c>
      <c r="Z41" s="11" t="n">
        <v>0.675831255143988</v>
      </c>
      <c r="AA41" s="11" t="n">
        <v>0.846545414599524</v>
      </c>
      <c r="AB41" s="11" t="n">
        <v>0.891900592001091</v>
      </c>
      <c r="AC41" s="11" t="n">
        <v>0.893546411799337</v>
      </c>
      <c r="AD41" s="11" t="n">
        <v>0.904083788266458</v>
      </c>
      <c r="AE41" s="11" t="n">
        <v>0.913451796364845</v>
      </c>
      <c r="AF41" s="11" t="n">
        <v>0.905720524710327</v>
      </c>
      <c r="AG41" s="11" t="n">
        <v>0.916538088663762</v>
      </c>
      <c r="AH41" s="11" t="n">
        <v>0.924124505580662</v>
      </c>
      <c r="AI41" s="11" t="n">
        <v>0.901472041065115</v>
      </c>
      <c r="AJ41" s="11" t="n">
        <v>0.883802548357134</v>
      </c>
      <c r="AK41" s="11" t="n">
        <v>0.845712936789407</v>
      </c>
      <c r="AL41" s="11" t="n">
        <v>0.836001263230554</v>
      </c>
      <c r="AM41" s="11" t="n">
        <v>0.889097789671652</v>
      </c>
      <c r="AN41" s="11" t="n">
        <v>0.8957501399631</v>
      </c>
      <c r="AO41" s="11" t="n">
        <v>0.900434041536075</v>
      </c>
      <c r="AP41" s="11" t="n">
        <v>0.905096366947496</v>
      </c>
      <c r="AQ41" s="11" t="n">
        <v>0.908004327668087</v>
      </c>
      <c r="AR41" s="11" t="n">
        <v>0.910034984923256</v>
      </c>
      <c r="AS41" s="11" t="n">
        <v>0.91098518369664</v>
      </c>
      <c r="AT41" s="11" t="n">
        <v>0.91267959864694</v>
      </c>
      <c r="AU41" s="11" t="n">
        <v>0.914855935277857</v>
      </c>
      <c r="AV41" s="11" t="n">
        <v>0.916483072328126</v>
      </c>
      <c r="AW41" s="11" t="n">
        <v>0.917885853695987</v>
      </c>
      <c r="AX41" s="11" t="n">
        <v>0.917641746218532</v>
      </c>
      <c r="AY41" s="11" t="n">
        <v>0.91698962710418</v>
      </c>
      <c r="AZ41" s="11" t="n">
        <v>0.915092516735333</v>
      </c>
      <c r="BA41" s="11" t="n">
        <v>0.915590593904363</v>
      </c>
      <c r="BB41" s="11" t="n">
        <v>0.916079001373699</v>
      </c>
      <c r="BC41" s="11" t="n">
        <v>0.916726381981681</v>
      </c>
      <c r="BD41" s="11" t="n">
        <v>0.917340890493072</v>
      </c>
      <c r="BE41" s="11" t="n">
        <v>0.917295416034344</v>
      </c>
      <c r="BF41" s="11" t="n">
        <v>0.918336690990663</v>
      </c>
      <c r="BG41" s="11" t="n">
        <v>0.919193424731894</v>
      </c>
      <c r="BH41" s="11" t="n">
        <v>0.918964992681232</v>
      </c>
      <c r="BI41" s="11" t="n">
        <v>0.918428569641441</v>
      </c>
      <c r="BJ41" s="11" t="n">
        <v>0.918112145741433</v>
      </c>
      <c r="BK41" s="11" t="n">
        <v>0.918488039823407</v>
      </c>
      <c r="BL41" s="11" t="n">
        <v>0.920162699500273</v>
      </c>
      <c r="BM41" s="11" t="n">
        <v>0.921789947683674</v>
      </c>
      <c r="BN41" s="11" t="n">
        <v>4.42637960134888</v>
      </c>
      <c r="BO41" s="11" t="n">
        <v>4.55656003021278</v>
      </c>
      <c r="BP41" s="11" t="n">
        <v>4.58409281608216</v>
      </c>
      <c r="BQ41" s="11" t="n">
        <v>4.58303228378716</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0.887812092871217</v>
      </c>
      <c r="L42" s="11" t="n">
        <v>1.21268939746777</v>
      </c>
      <c r="M42" s="11" t="n">
        <v>1.67943437777013</v>
      </c>
      <c r="N42" s="11" t="n">
        <v>2.23766194274384</v>
      </c>
      <c r="O42" s="11" t="n">
        <v>2.85956892573193</v>
      </c>
      <c r="P42" s="11" t="n">
        <v>3.61885336113621</v>
      </c>
      <c r="Q42" s="11" t="n">
        <v>4.23695062254621</v>
      </c>
      <c r="R42" s="11" t="n">
        <v>4.90898918210383</v>
      </c>
      <c r="S42" s="11" t="n">
        <v>5.47172831627325</v>
      </c>
      <c r="T42" s="11" t="n">
        <v>6.02613382558142</v>
      </c>
      <c r="U42" s="11" t="n">
        <v>6.67512027321028</v>
      </c>
      <c r="V42" s="11" t="n">
        <v>7.09453468955329</v>
      </c>
      <c r="W42" s="11" t="n">
        <v>7.33427063376822</v>
      </c>
      <c r="X42" s="11" t="n">
        <v>7.65072094240051</v>
      </c>
      <c r="Y42" s="11" t="n">
        <v>7.98793642368175</v>
      </c>
      <c r="Z42" s="11" t="n">
        <v>8.37623700129879</v>
      </c>
      <c r="AA42" s="11" t="n">
        <v>8.67742513818832</v>
      </c>
      <c r="AB42" s="11" t="n">
        <v>8.67057952123833</v>
      </c>
      <c r="AC42" s="11" t="n">
        <v>8.22294685667956</v>
      </c>
      <c r="AD42" s="11" t="n">
        <v>8.01470776928503</v>
      </c>
      <c r="AE42" s="11" t="n">
        <v>7.72031091816046</v>
      </c>
      <c r="AF42" s="11" t="n">
        <v>7.31880276789089</v>
      </c>
      <c r="AG42" s="11" t="n">
        <v>6.95968164395597</v>
      </c>
      <c r="AH42" s="11" t="n">
        <v>6.39537361443029</v>
      </c>
      <c r="AI42" s="11" t="n">
        <v>5.70528179294859</v>
      </c>
      <c r="AJ42" s="11" t="n">
        <v>5.24401579865644</v>
      </c>
      <c r="AK42" s="11" t="n">
        <v>4.85465601130321</v>
      </c>
      <c r="AL42" s="11" t="n">
        <v>4.45096638460075</v>
      </c>
      <c r="AM42" s="11" t="n">
        <v>4.13587946738664</v>
      </c>
      <c r="AN42" s="11" t="n">
        <v>3.91082861365333</v>
      </c>
      <c r="AO42" s="11" t="n">
        <v>3.71356827885798</v>
      </c>
      <c r="AP42" s="11" t="n">
        <v>3.54141578366137</v>
      </c>
      <c r="AQ42" s="11" t="n">
        <v>3.397188073432</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2.83955931184937</v>
      </c>
      <c r="BG42" s="11" t="n">
        <v>2.88285737657756</v>
      </c>
      <c r="BH42" s="11" t="n">
        <v>2.93086885071256</v>
      </c>
      <c r="BI42" s="11" t="n">
        <v>2.97998034582683</v>
      </c>
      <c r="BJ42" s="11" t="n">
        <v>3.02803909746594</v>
      </c>
      <c r="BK42" s="11" t="n">
        <v>3.07319716267257</v>
      </c>
      <c r="BL42" s="11" t="n">
        <v>3.11529035542257</v>
      </c>
      <c r="BM42" s="11" t="n">
        <v>3.15658114223841</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114.147964672085</v>
      </c>
      <c r="AO46" s="11" t="n">
        <v>111.475546020832</v>
      </c>
      <c r="AP46" s="11" t="n">
        <v>108.60274118168</v>
      </c>
      <c r="AQ46" s="11" t="n">
        <v>104.401188957097</v>
      </c>
      <c r="AR46" s="11" t="n">
        <v>99.3519176571707</v>
      </c>
      <c r="AS46" s="11" t="n">
        <v>93.2785063019027</v>
      </c>
      <c r="AT46" s="11" t="n">
        <v>87.7017110795635</v>
      </c>
      <c r="AU46" s="11" t="n">
        <v>82.5379357407438</v>
      </c>
      <c r="AV46" s="11" t="n">
        <v>78.0798343656441</v>
      </c>
      <c r="AW46" s="11" t="n">
        <v>74.1019533670403</v>
      </c>
      <c r="AX46" s="11" t="n">
        <v>70.6289899945351</v>
      </c>
      <c r="AY46" s="11" t="n">
        <v>67.4797432978472</v>
      </c>
      <c r="AZ46" s="11" t="n">
        <v>64.6492651182036</v>
      </c>
      <c r="BA46" s="11" t="n">
        <v>62.147594367492</v>
      </c>
      <c r="BB46" s="11" t="n">
        <v>60.0006658605471</v>
      </c>
      <c r="BC46" s="11" t="n">
        <v>58.0398405257778</v>
      </c>
      <c r="BD46" s="11" t="n">
        <v>56.4119470852433</v>
      </c>
      <c r="BE46" s="11" t="n">
        <v>54.9770365997353</v>
      </c>
      <c r="BF46" s="11" t="n">
        <v>53.8546832321117</v>
      </c>
      <c r="BG46" s="11" t="n">
        <v>52.8740019354015</v>
      </c>
      <c r="BH46" s="11" t="n">
        <v>52.0457097086448</v>
      </c>
      <c r="BI46" s="11" t="n">
        <v>51.4160202035093</v>
      </c>
      <c r="BJ46" s="11" t="n">
        <v>50.8767373260035</v>
      </c>
      <c r="BK46" s="11" t="n">
        <v>50.5778418412281</v>
      </c>
      <c r="BL46" s="11" t="n">
        <v>50.2760387187585</v>
      </c>
      <c r="BM46" s="11" t="n">
        <v>50.0465500188502</v>
      </c>
      <c r="BN46" s="11" t="n">
        <v>553.458773384542</v>
      </c>
      <c r="BO46" s="11" t="n">
        <v>467.271259736478</v>
      </c>
      <c r="BP46" s="11" t="n">
        <v>354.93978614327</v>
      </c>
      <c r="BQ46" s="11" t="n">
        <v>291.577084438795</v>
      </c>
    </row>
    <row r="47" customFormat="false" ht="13.8" hidden="false" customHeight="false" outlineLevel="0" collapsed="false">
      <c r="A47" s="11" t="s">
        <v>154</v>
      </c>
      <c r="B47" s="11" t="s">
        <v>146</v>
      </c>
      <c r="C47" s="11" t="s">
        <v>139</v>
      </c>
      <c r="D47" s="12"/>
      <c r="E47" s="11" t="n">
        <v>1.27297720515135</v>
      </c>
      <c r="F47" s="11" t="n">
        <v>1.25061064970842</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0.553564609166542</v>
      </c>
      <c r="R47" s="11" t="n">
        <v>0.490426598642273</v>
      </c>
      <c r="S47" s="11" t="n">
        <v>0.442652781387932</v>
      </c>
      <c r="T47" s="11" t="n">
        <v>0.405383013533054</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0.0747884074140275</v>
      </c>
      <c r="AJ47" s="11" t="n">
        <v>0.0810221488085114</v>
      </c>
      <c r="AK47" s="11" t="n">
        <v>0.0850575444875325</v>
      </c>
      <c r="AL47" s="11" t="n">
        <v>0.0856761920612092</v>
      </c>
      <c r="AM47" s="11" t="n">
        <v>0.0916319440299271</v>
      </c>
      <c r="AN47" s="11" t="n">
        <v>0.0909220402263708</v>
      </c>
      <c r="AO47" s="11" t="n">
        <v>0.0887847226059812</v>
      </c>
      <c r="AP47" s="11" t="n">
        <v>0.0874213707449065</v>
      </c>
      <c r="AQ47" s="11" t="n">
        <v>0.0851266982160392</v>
      </c>
      <c r="AR47" s="11" t="n">
        <v>0.081853719926959</v>
      </c>
      <c r="AS47" s="11" t="n">
        <v>0.0775008423481187</v>
      </c>
      <c r="AT47" s="11" t="n">
        <v>0.0735879561705801</v>
      </c>
      <c r="AU47" s="11" t="n">
        <v>0.0698419984398441</v>
      </c>
      <c r="AV47" s="11" t="n">
        <v>0.0662795215786914</v>
      </c>
      <c r="AW47" s="11" t="n">
        <v>0.0630125708730118</v>
      </c>
      <c r="AX47" s="11" t="n">
        <v>0.0600180556059383</v>
      </c>
      <c r="AY47" s="11" t="n">
        <v>0.0572482700216834</v>
      </c>
      <c r="AZ47" s="11" t="n">
        <v>0.0547492546727604</v>
      </c>
      <c r="BA47" s="11" t="n">
        <v>0.0525083216104856</v>
      </c>
      <c r="BB47" s="11" t="n">
        <v>0.0504447021791517</v>
      </c>
      <c r="BC47" s="11" t="n">
        <v>0.0486284145128167</v>
      </c>
      <c r="BD47" s="11" t="n">
        <v>0.0469460352808464</v>
      </c>
      <c r="BE47" s="11" t="n">
        <v>0.0455948412122582</v>
      </c>
      <c r="BF47" s="11" t="n">
        <v>0.0444130820672416</v>
      </c>
      <c r="BG47" s="11" t="n">
        <v>0.0434512625123249</v>
      </c>
      <c r="BH47" s="11" t="n">
        <v>0.0427277996710602</v>
      </c>
      <c r="BI47" s="11" t="n">
        <v>0.042194037780112</v>
      </c>
      <c r="BJ47" s="11" t="n">
        <v>0.041729662371812</v>
      </c>
      <c r="BK47" s="11" t="n">
        <v>0.0413945425814667</v>
      </c>
      <c r="BL47" s="11" t="n">
        <v>0.0411661581819669</v>
      </c>
      <c r="BM47" s="11" t="n">
        <v>0.0410079760412656</v>
      </c>
      <c r="BN47" s="11" t="n">
        <v>0.444436269668395</v>
      </c>
      <c r="BO47" s="11" t="n">
        <v>0.387911215101541</v>
      </c>
      <c r="BP47" s="11" t="n">
        <v>0.301307672752085</v>
      </c>
      <c r="BQ47" s="11" t="n">
        <v>0.244122314795559</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0.890620745807166</v>
      </c>
      <c r="X48" s="11" t="n">
        <v>0.844914398363468</v>
      </c>
      <c r="Y48" s="11" t="n">
        <v>0.849296904955032</v>
      </c>
      <c r="Z48" s="11" t="n">
        <v>0.862456549136757</v>
      </c>
      <c r="AA48" s="11" t="n">
        <v>0.877239206896131</v>
      </c>
      <c r="AB48" s="11" t="n">
        <v>0.894622354167945</v>
      </c>
      <c r="AC48" s="11" t="n">
        <v>0.934204816450957</v>
      </c>
      <c r="AD48" s="11" t="n">
        <v>0.949799549113104</v>
      </c>
      <c r="AE48" s="11" t="n">
        <v>0.987987362907361</v>
      </c>
      <c r="AF48" s="11" t="n">
        <v>1.00785908615541</v>
      </c>
      <c r="AG48" s="11" t="n">
        <v>1.01707539544984</v>
      </c>
      <c r="AH48" s="11" t="n">
        <v>0.991684737617365</v>
      </c>
      <c r="AI48" s="11" t="n">
        <v>0.871004562768477</v>
      </c>
      <c r="AJ48" s="11" t="n">
        <v>0.922070495488821</v>
      </c>
      <c r="AK48" s="11" t="n">
        <v>0.917810058079545</v>
      </c>
      <c r="AL48" s="11" t="n">
        <v>0.895428540077311</v>
      </c>
      <c r="AM48" s="11" t="n">
        <v>0.962369082226078</v>
      </c>
      <c r="AN48" s="11" t="n">
        <v>0.957869560686698</v>
      </c>
      <c r="AO48" s="11" t="n">
        <v>0.940662521282016</v>
      </c>
      <c r="AP48" s="11" t="n">
        <v>0.921588514747004</v>
      </c>
      <c r="AQ48" s="11" t="n">
        <v>0.897867072672277</v>
      </c>
      <c r="AR48" s="11" t="n">
        <v>0.869521869158786</v>
      </c>
      <c r="AS48" s="11" t="n">
        <v>0.837905068825973</v>
      </c>
      <c r="AT48" s="11" t="n">
        <v>0.810299969050468</v>
      </c>
      <c r="AU48" s="11" t="n">
        <v>0.785314718330419</v>
      </c>
      <c r="AV48" s="11" t="n">
        <v>0.762996028526453</v>
      </c>
      <c r="AW48" s="11" t="n">
        <v>0.744469377356931</v>
      </c>
      <c r="AX48" s="11" t="n">
        <v>0.729270906506947</v>
      </c>
      <c r="AY48" s="11" t="n">
        <v>0.716629332371664</v>
      </c>
      <c r="AZ48" s="11" t="n">
        <v>0.70601403822678</v>
      </c>
      <c r="BA48" s="11" t="n">
        <v>0.697679255064927</v>
      </c>
      <c r="BB48" s="11" t="n">
        <v>0.691197162246782</v>
      </c>
      <c r="BC48" s="11" t="n">
        <v>0.686056321656998</v>
      </c>
      <c r="BD48" s="11" t="n">
        <v>0.680581381170324</v>
      </c>
      <c r="BE48" s="11" t="n">
        <v>0.676693046162658</v>
      </c>
      <c r="BF48" s="11" t="n">
        <v>0.673601375377974</v>
      </c>
      <c r="BG48" s="11" t="n">
        <v>0.671740017138114</v>
      </c>
      <c r="BH48" s="11" t="n">
        <v>0.670733644824204</v>
      </c>
      <c r="BI48" s="11" t="n">
        <v>0.670533539723488</v>
      </c>
      <c r="BJ48" s="11" t="n">
        <v>0.670504862739021</v>
      </c>
      <c r="BK48" s="11" t="n">
        <v>0.671402243800527</v>
      </c>
      <c r="BL48" s="11" t="n">
        <v>0.673092176426854</v>
      </c>
      <c r="BM48" s="11" t="n">
        <v>0.674509671730671</v>
      </c>
      <c r="BN48" s="11" t="n">
        <v>4.67791821901911</v>
      </c>
      <c r="BO48" s="11" t="n">
        <v>4.20090869803792</v>
      </c>
      <c r="BP48" s="11" t="n">
        <v>3.65937968298877</v>
      </c>
      <c r="BQ48" s="11" t="n">
        <v>3.43220716630169</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0.00758704295400535</v>
      </c>
      <c r="I49" s="11" t="n">
        <v>0.0191457948826393</v>
      </c>
      <c r="J49" s="11" t="n">
        <v>0.0440129237321048</v>
      </c>
      <c r="K49" s="11" t="n">
        <v>0.0831984283549992</v>
      </c>
      <c r="L49" s="11" t="n">
        <v>0.134713168733324</v>
      </c>
      <c r="M49" s="11" t="n">
        <v>0.197418800105337</v>
      </c>
      <c r="N49" s="11" t="n">
        <v>0.270937175183438</v>
      </c>
      <c r="O49" s="11" t="n">
        <v>0.35528562086966</v>
      </c>
      <c r="P49" s="11" t="n">
        <v>0.448308759564938</v>
      </c>
      <c r="Q49" s="11" t="n">
        <v>0.546724386901232</v>
      </c>
      <c r="R49" s="11" t="n">
        <v>0.654719622747928</v>
      </c>
      <c r="S49" s="11" t="n">
        <v>0.770609828397742</v>
      </c>
      <c r="T49" s="11" t="n">
        <v>0.892033502650137</v>
      </c>
      <c r="U49" s="11" t="n">
        <v>1.02536768411097</v>
      </c>
      <c r="V49" s="11" t="n">
        <v>1.14915773447392</v>
      </c>
      <c r="W49" s="11" t="n">
        <v>1.26245622236332</v>
      </c>
      <c r="X49" s="11" t="n">
        <v>1.36457098844073</v>
      </c>
      <c r="Y49" s="11" t="n">
        <v>1.46641832911833</v>
      </c>
      <c r="Z49" s="11" t="n">
        <v>1.56361602612155</v>
      </c>
      <c r="AA49" s="11" t="n">
        <v>1.6562995095492</v>
      </c>
      <c r="AB49" s="11" t="n">
        <v>1.74334686161733</v>
      </c>
      <c r="AC49" s="11" t="n">
        <v>1.81859099804214</v>
      </c>
      <c r="AD49" s="11" t="n">
        <v>1.87431155708176</v>
      </c>
      <c r="AE49" s="11" t="n">
        <v>1.90597752814992</v>
      </c>
      <c r="AF49" s="11" t="n">
        <v>1.89620238264926</v>
      </c>
      <c r="AG49" s="11" t="n">
        <v>1.85777666435984</v>
      </c>
      <c r="AH49" s="11" t="n">
        <v>1.80208979252265</v>
      </c>
      <c r="AI49" s="11" t="n">
        <v>1.73121633411536</v>
      </c>
      <c r="AJ49" s="11" t="n">
        <v>1.65076911278086</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0.568631066193109</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37.8563107926445</v>
      </c>
      <c r="AN53" s="11" t="n">
        <v>26.1527957417615</v>
      </c>
      <c r="AO53" s="11" t="n">
        <v>23.9637372202814</v>
      </c>
      <c r="AP53" s="11" t="n">
        <v>21.5458337190721</v>
      </c>
      <c r="AQ53" s="11" t="n">
        <v>21.0886156190926</v>
      </c>
      <c r="AR53" s="11" t="n">
        <v>21.4047981977514</v>
      </c>
      <c r="AS53" s="11" t="n">
        <v>23.6300636335211</v>
      </c>
      <c r="AT53" s="11" t="n">
        <v>24.3198364357946</v>
      </c>
      <c r="AU53" s="11" t="n">
        <v>25.3914862559932</v>
      </c>
      <c r="AV53" s="11" t="n">
        <v>27.1191361017393</v>
      </c>
      <c r="AW53" s="11" t="n">
        <v>28.8372169738116</v>
      </c>
      <c r="AX53" s="11" t="n">
        <v>30.2169462126672</v>
      </c>
      <c r="AY53" s="11" t="n">
        <v>29.4450068809608</v>
      </c>
      <c r="AZ53" s="11" t="n">
        <v>29.4022802875254</v>
      </c>
      <c r="BA53" s="11" t="n">
        <v>30.0991596916817</v>
      </c>
      <c r="BB53" s="11" t="n">
        <v>30.6438752290636</v>
      </c>
      <c r="BC53" s="11" t="n">
        <v>31.2821908147781</v>
      </c>
      <c r="BD53" s="11" t="n">
        <v>33.0914907664911</v>
      </c>
      <c r="BE53" s="11" t="n">
        <v>34.9390462284496</v>
      </c>
      <c r="BF53" s="11" t="n">
        <v>36.5139844303099</v>
      </c>
      <c r="BG53" s="11" t="n">
        <v>37.9596791403896</v>
      </c>
      <c r="BH53" s="11" t="n">
        <v>39.1301507110951</v>
      </c>
      <c r="BI53" s="11" t="n">
        <v>40.3759892947387</v>
      </c>
      <c r="BJ53" s="11" t="n">
        <v>41.5738934420503</v>
      </c>
      <c r="BK53" s="11" t="n">
        <v>43.4275494095066</v>
      </c>
      <c r="BL53" s="11" t="n">
        <v>41.9788217317249</v>
      </c>
      <c r="BM53" s="11" t="n">
        <v>38.4499820445007</v>
      </c>
      <c r="BN53" s="11" t="n">
        <v>152.849578524954</v>
      </c>
      <c r="BO53" s="11" t="n">
        <v>115.834800142153</v>
      </c>
      <c r="BP53" s="11" t="n">
        <v>145.020586456704</v>
      </c>
      <c r="BQ53" s="11" t="n">
        <v>160.055762730464</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0.0709247278374883</v>
      </c>
      <c r="I54" s="11" t="n">
        <v>0.0742130274626892</v>
      </c>
      <c r="J54" s="11" t="n">
        <v>0.0748808413651573</v>
      </c>
      <c r="K54" s="11" t="n">
        <v>0.0758501153320661</v>
      </c>
      <c r="L54" s="11" t="n">
        <v>0.0732454613383986</v>
      </c>
      <c r="M54" s="11" t="n">
        <v>0.0774811747973583</v>
      </c>
      <c r="N54" s="11" t="n">
        <v>0.0793672420704025</v>
      </c>
      <c r="O54" s="11" t="n">
        <v>0.0846894349742251</v>
      </c>
      <c r="P54" s="11" t="n">
        <v>0.0917537201635203</v>
      </c>
      <c r="Q54" s="11" t="n">
        <v>0.0907429907796952</v>
      </c>
      <c r="R54" s="11" t="n">
        <v>0.0941428339572569</v>
      </c>
      <c r="S54" s="11" t="n">
        <v>0.0957489905159301</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0.211350425583012</v>
      </c>
      <c r="AE54" s="11" t="n">
        <v>0.220751805792713</v>
      </c>
      <c r="AF54" s="11" t="n">
        <v>0.222246360185227</v>
      </c>
      <c r="AG54" s="11" t="n">
        <v>0.249516926143695</v>
      </c>
      <c r="AH54" s="11" t="n">
        <v>0.272413021693873</v>
      </c>
      <c r="AI54" s="11" t="n">
        <v>0.274611055142342</v>
      </c>
      <c r="AJ54" s="11" t="n">
        <v>0.29493541718883</v>
      </c>
      <c r="AK54" s="11" t="n">
        <v>0.268806108474927</v>
      </c>
      <c r="AL54" s="11" t="n">
        <v>0.261550530209526</v>
      </c>
      <c r="AM54" s="11" t="n">
        <v>0.37970982641791</v>
      </c>
      <c r="AN54" s="11" t="n">
        <v>0.37320441641726</v>
      </c>
      <c r="AO54" s="11" t="n">
        <v>0.364535029461433</v>
      </c>
      <c r="AP54" s="11" t="n">
        <v>0.336463444081707</v>
      </c>
      <c r="AQ54" s="11" t="n">
        <v>0.247703836279976</v>
      </c>
      <c r="AR54" s="11" t="n">
        <v>0.241720419817087</v>
      </c>
      <c r="AS54" s="11" t="n">
        <v>0.227322115028871</v>
      </c>
      <c r="AT54" s="11" t="n">
        <v>0.226064428957576</v>
      </c>
      <c r="AU54" s="11" t="n">
        <v>0.182618450244116</v>
      </c>
      <c r="AV54" s="11" t="n">
        <v>0.183789438124173</v>
      </c>
      <c r="AW54" s="11" t="n">
        <v>0.184495109685504</v>
      </c>
      <c r="AX54" s="11" t="n">
        <v>0.161882200974151</v>
      </c>
      <c r="AY54" s="11" t="n">
        <v>0.158857367957658</v>
      </c>
      <c r="AZ54" s="11" t="n">
        <v>0.153864731075987</v>
      </c>
      <c r="BA54" s="11" t="n">
        <v>0.155638502288854</v>
      </c>
      <c r="BB54" s="11" t="n">
        <v>0.156660914222137</v>
      </c>
      <c r="BC54" s="11" t="n">
        <v>0.155915416410839</v>
      </c>
      <c r="BD54" s="11" t="n">
        <v>0.151838769749498</v>
      </c>
      <c r="BE54" s="11" t="n">
        <v>0.144088417423611</v>
      </c>
      <c r="BF54" s="11" t="n">
        <v>0.141492923941363</v>
      </c>
      <c r="BG54" s="11" t="n">
        <v>0.142459124568883</v>
      </c>
      <c r="BH54" s="11" t="n">
        <v>0.143749026736155</v>
      </c>
      <c r="BI54" s="11" t="n">
        <v>0.144618096588165</v>
      </c>
      <c r="BJ54" s="11" t="n">
        <v>0.145582009181634</v>
      </c>
      <c r="BK54" s="11" t="n">
        <v>0.146953928703304</v>
      </c>
      <c r="BL54" s="11" t="n">
        <v>0.146830658299946</v>
      </c>
      <c r="BM54" s="11" t="n">
        <v>0.145655818485768</v>
      </c>
      <c r="BN54" s="11" t="n">
        <v>1.71546324658784</v>
      </c>
      <c r="BO54" s="11" t="n">
        <v>1.12542925032763</v>
      </c>
      <c r="BP54" s="11" t="n">
        <v>0.842888847817473</v>
      </c>
      <c r="BQ54" s="11" t="n">
        <v>0.76414202009494</v>
      </c>
    </row>
    <row r="55" customFormat="false" ht="13.8" hidden="false" customHeight="false" outlineLevel="0" collapsed="false">
      <c r="A55" s="11" t="s">
        <v>155</v>
      </c>
      <c r="B55" s="11" t="s">
        <v>147</v>
      </c>
      <c r="C55" s="11" t="s">
        <v>139</v>
      </c>
      <c r="D55" s="12"/>
      <c r="E55" s="11" t="n">
        <v>0.984987691558184</v>
      </c>
      <c r="F55" s="11" t="n">
        <v>0.970048388417934</v>
      </c>
      <c r="G55" s="11" t="n">
        <v>0.910617933265949</v>
      </c>
      <c r="H55" s="11" t="n">
        <v>0.771978697012649</v>
      </c>
      <c r="I55" s="11" t="n">
        <v>0.737321268443208</v>
      </c>
      <c r="J55" s="11" t="n">
        <v>0.709397209019641</v>
      </c>
      <c r="K55" s="11" t="n">
        <v>0.6612887889585</v>
      </c>
      <c r="L55" s="11" t="n">
        <v>0.568914048515287</v>
      </c>
      <c r="M55" s="11" t="n">
        <v>0.586389592586241</v>
      </c>
      <c r="N55" s="11" t="n">
        <v>0.513498687002719</v>
      </c>
      <c r="O55" s="11" t="n">
        <v>0.574804572248271</v>
      </c>
      <c r="P55" s="11" t="n">
        <v>0.632355500344122</v>
      </c>
      <c r="Q55" s="11" t="n">
        <v>0.597481798965218</v>
      </c>
      <c r="R55" s="11" t="n">
        <v>0.652412845375287</v>
      </c>
      <c r="S55" s="11" t="n">
        <v>0.634687425943724</v>
      </c>
      <c r="T55" s="11" t="n">
        <v>0.672744029106066</v>
      </c>
      <c r="U55" s="11" t="n">
        <v>0.726225392133559</v>
      </c>
      <c r="V55" s="11" t="n">
        <v>0.673849210882455</v>
      </c>
      <c r="W55" s="11" t="n">
        <v>0.637459708292023</v>
      </c>
      <c r="X55" s="11" t="n">
        <v>0.548443507955348</v>
      </c>
      <c r="Y55" s="11" t="n">
        <v>0.577056570762781</v>
      </c>
      <c r="Z55" s="11" t="n">
        <v>0.580114063030645</v>
      </c>
      <c r="AA55" s="11" t="n">
        <v>0.739849019698221</v>
      </c>
      <c r="AB55" s="11" t="n">
        <v>0.714748016401048</v>
      </c>
      <c r="AC55" s="11" t="n">
        <v>0.62046564927776</v>
      </c>
      <c r="AD55" s="11" t="n">
        <v>0.568838988121384</v>
      </c>
      <c r="AE55" s="11" t="n">
        <v>0.39786726674901</v>
      </c>
      <c r="AF55" s="11" t="n">
        <v>0.365313374041686</v>
      </c>
      <c r="AG55" s="11" t="n">
        <v>0.377926428764218</v>
      </c>
      <c r="AH55" s="11" t="n">
        <v>0.368168520875392</v>
      </c>
      <c r="AI55" s="11" t="n">
        <v>0.365816544629617</v>
      </c>
      <c r="AJ55" s="11" t="n">
        <v>0.393674218221008</v>
      </c>
      <c r="AK55" s="11" t="n">
        <v>0.35714368175873</v>
      </c>
      <c r="AL55" s="11" t="n">
        <v>0.341045187738303</v>
      </c>
      <c r="AM55" s="11" t="n">
        <v>0.486334882072618</v>
      </c>
      <c r="AN55" s="11" t="n">
        <v>0.469214436782596</v>
      </c>
      <c r="AO55" s="11" t="n">
        <v>0.45862519869086</v>
      </c>
      <c r="AP55" s="11" t="n">
        <v>0.423613775840233</v>
      </c>
      <c r="AQ55" s="11" t="n">
        <v>0.312074193583336</v>
      </c>
      <c r="AR55" s="11" t="n">
        <v>0.304259642846679</v>
      </c>
      <c r="AS55" s="11" t="n">
        <v>0.285776738088914</v>
      </c>
      <c r="AT55" s="11" t="n">
        <v>0.284083629961437</v>
      </c>
      <c r="AU55" s="11" t="n">
        <v>0.229153294017073</v>
      </c>
      <c r="AV55" s="11" t="n">
        <v>0.230330428418355</v>
      </c>
      <c r="AW55" s="11" t="n">
        <v>0.230928949404544</v>
      </c>
      <c r="AX55" s="11" t="n">
        <v>0.202192266779243</v>
      </c>
      <c r="AY55" s="11" t="n">
        <v>0.198486325214236</v>
      </c>
      <c r="AZ55" s="11" t="n">
        <v>0.19218435204282</v>
      </c>
      <c r="BA55" s="11" t="n">
        <v>0.194283739791904</v>
      </c>
      <c r="BB55" s="11" t="n">
        <v>0.195471701407588</v>
      </c>
      <c r="BC55" s="11" t="n">
        <v>0.194368718593697</v>
      </c>
      <c r="BD55" s="11" t="n">
        <v>0.188933620074788</v>
      </c>
      <c r="BE55" s="11" t="n">
        <v>0.178844943556948</v>
      </c>
      <c r="BF55" s="11" t="n">
        <v>0.175272036388377</v>
      </c>
      <c r="BG55" s="11" t="n">
        <v>0.176124124063219</v>
      </c>
      <c r="BH55" s="11" t="n">
        <v>0.177267603678685</v>
      </c>
      <c r="BI55" s="11" t="n">
        <v>0.178178906554916</v>
      </c>
      <c r="BJ55" s="11" t="n">
        <v>0.179165493649327</v>
      </c>
      <c r="BK55" s="11" t="n">
        <v>0.180585919205373</v>
      </c>
      <c r="BL55" s="11" t="n">
        <v>0.180541073142521</v>
      </c>
      <c r="BM55" s="11" t="n">
        <v>0.179496188261</v>
      </c>
      <c r="BN55" s="11" t="n">
        <v>2.17883348112461</v>
      </c>
      <c r="BO55" s="11" t="n">
        <v>1.41534749849744</v>
      </c>
      <c r="BP55" s="11" t="n">
        <v>1.0541223218592</v>
      </c>
      <c r="BQ55" s="11" t="n">
        <v>0.951902723424925</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25.3675827241649</v>
      </c>
      <c r="AO60" s="11" t="n">
        <v>24.4073757293525</v>
      </c>
      <c r="AP60" s="11" t="n">
        <v>23.7740678389369</v>
      </c>
      <c r="AQ60" s="11" t="n">
        <v>22.9174771935768</v>
      </c>
      <c r="AR60" s="11" t="n">
        <v>22.0706342216479</v>
      </c>
      <c r="AS60" s="11" t="n">
        <v>20.8254225385186</v>
      </c>
      <c r="AT60" s="11" t="n">
        <v>19.5308410077826</v>
      </c>
      <c r="AU60" s="11" t="n">
        <v>18.7852936202299</v>
      </c>
      <c r="AV60" s="11" t="n">
        <v>17.7968821306288</v>
      </c>
      <c r="AW60" s="11" t="n">
        <v>17.3770530426207</v>
      </c>
      <c r="AX60" s="11" t="n">
        <v>16.9613537456504</v>
      </c>
      <c r="AY60" s="11" t="n">
        <v>15.0456425197301</v>
      </c>
      <c r="AZ60" s="11" t="n">
        <v>14.6812319159067</v>
      </c>
      <c r="BA60" s="11" t="n">
        <v>14.1575815691951</v>
      </c>
      <c r="BB60" s="11" t="n">
        <v>13.397538046501</v>
      </c>
      <c r="BC60" s="11" t="n">
        <v>13.0618938969772</v>
      </c>
      <c r="BD60" s="11" t="n">
        <v>11.8720515177159</v>
      </c>
      <c r="BE60" s="11" t="n">
        <v>11.1183351888798</v>
      </c>
      <c r="BF60" s="11" t="n">
        <v>10.8163372105069</v>
      </c>
      <c r="BG60" s="11" t="n">
        <v>10.7553752741794</v>
      </c>
      <c r="BH60" s="11" t="n">
        <v>10.6880697497486</v>
      </c>
      <c r="BI60" s="11" t="n">
        <v>10.6456190872873</v>
      </c>
      <c r="BJ60" s="11" t="n">
        <v>10.5887239496795</v>
      </c>
      <c r="BK60" s="11" t="n">
        <v>10.3301575931622</v>
      </c>
      <c r="BL60" s="11" t="n">
        <v>9.94522549318933</v>
      </c>
      <c r="BM60" s="11" t="n">
        <v>9.77993705422215</v>
      </c>
      <c r="BN60" s="11" t="n">
        <v>124.559886755697</v>
      </c>
      <c r="BO60" s="11" t="n">
        <v>104.129668581756</v>
      </c>
      <c r="BP60" s="11" t="n">
        <v>81.8621633545367</v>
      </c>
      <c r="BQ60" s="11" t="n">
        <v>63.6074002192691</v>
      </c>
    </row>
    <row r="61" customFormat="false" ht="13.8" hidden="false" customHeight="false" outlineLevel="0" collapsed="false">
      <c r="A61" s="11" t="s">
        <v>154</v>
      </c>
      <c r="B61" s="11" t="s">
        <v>148</v>
      </c>
      <c r="C61" s="11" t="s">
        <v>139</v>
      </c>
      <c r="D61" s="12"/>
      <c r="E61" s="11" t="n">
        <v>38.4113671371213</v>
      </c>
      <c r="F61" s="11" t="n">
        <v>38.8552949596067</v>
      </c>
      <c r="G61" s="11" t="n">
        <v>38.5388169594932</v>
      </c>
      <c r="H61" s="11" t="n">
        <v>36.3124596311372</v>
      </c>
      <c r="I61" s="11" t="n">
        <v>28.232131676279</v>
      </c>
      <c r="J61" s="11" t="n">
        <v>29.6414159904183</v>
      </c>
      <c r="K61" s="11" t="n">
        <v>27.8829795223238</v>
      </c>
      <c r="L61" s="11" t="n">
        <v>25.7455049253289</v>
      </c>
      <c r="M61" s="11" t="n">
        <v>23.2122609443943</v>
      </c>
      <c r="N61" s="11" t="n">
        <v>20.3132652404912</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10.4437304627497</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6.1985245851059</v>
      </c>
      <c r="AH61" s="11" t="n">
        <v>6.23642575869865</v>
      </c>
      <c r="AI61" s="11" t="n">
        <v>5.73448917987444</v>
      </c>
      <c r="AJ61" s="11" t="n">
        <v>5.38414606680817</v>
      </c>
      <c r="AK61" s="11" t="n">
        <v>5.0278931495823</v>
      </c>
      <c r="AL61" s="11" t="n">
        <v>4.74375700324067</v>
      </c>
      <c r="AM61" s="11" t="n">
        <v>4.67597743631238</v>
      </c>
      <c r="AN61" s="11" t="n">
        <v>4.61600472706728</v>
      </c>
      <c r="AO61" s="11" t="n">
        <v>4.52094390823347</v>
      </c>
      <c r="AP61" s="11" t="n">
        <v>4.43593475409618</v>
      </c>
      <c r="AQ61" s="11" t="n">
        <v>4.34240452705351</v>
      </c>
      <c r="AR61" s="11" t="n">
        <v>4.27444926952789</v>
      </c>
      <c r="AS61" s="11" t="n">
        <v>4.16869402890747</v>
      </c>
      <c r="AT61" s="11" t="n">
        <v>4.09056942651474</v>
      </c>
      <c r="AU61" s="11" t="n">
        <v>4.00847429376069</v>
      </c>
      <c r="AV61" s="11" t="n">
        <v>3.92723352885677</v>
      </c>
      <c r="AW61" s="11" t="n">
        <v>3.91728747743852</v>
      </c>
      <c r="AX61" s="11" t="n">
        <v>3.90921257707988</v>
      </c>
      <c r="AY61" s="11" t="n">
        <v>3.85058244982799</v>
      </c>
      <c r="AZ61" s="11" t="n">
        <v>3.80324670579047</v>
      </c>
      <c r="BA61" s="11" t="n">
        <v>3.79952800539362</v>
      </c>
      <c r="BB61" s="11" t="n">
        <v>3.78141870636871</v>
      </c>
      <c r="BC61" s="11" t="n">
        <v>3.77421735654542</v>
      </c>
      <c r="BD61" s="11" t="n">
        <v>3.71347826815317</v>
      </c>
      <c r="BE61" s="11" t="n">
        <v>3.67531993819887</v>
      </c>
      <c r="BF61" s="11" t="n">
        <v>3.66756248998577</v>
      </c>
      <c r="BG61" s="11" t="n">
        <v>3.6639760293443</v>
      </c>
      <c r="BH61" s="11" t="n">
        <v>3.65974753500711</v>
      </c>
      <c r="BI61" s="11" t="n">
        <v>3.65683167235043</v>
      </c>
      <c r="BJ61" s="11" t="n">
        <v>3.64508743172596</v>
      </c>
      <c r="BK61" s="11" t="n">
        <v>3.63202544738251</v>
      </c>
      <c r="BL61" s="11" t="n">
        <v>3.6184559177025</v>
      </c>
      <c r="BM61" s="11" t="n">
        <v>3.61178323019783</v>
      </c>
      <c r="BN61" s="11" t="n">
        <v>22.99261782895</v>
      </c>
      <c r="BO61" s="11" t="n">
        <v>20.8845915457643</v>
      </c>
      <c r="BP61" s="11" t="n">
        <v>19.4075627389936</v>
      </c>
      <c r="BQ61" s="11" t="n">
        <v>18.7439622746598</v>
      </c>
    </row>
    <row r="62" customFormat="false" ht="13.8" hidden="false" customHeight="false" outlineLevel="0" collapsed="false">
      <c r="A62" s="11" t="s">
        <v>155</v>
      </c>
      <c r="B62" s="11" t="s">
        <v>148</v>
      </c>
      <c r="C62" s="11" t="s">
        <v>139</v>
      </c>
      <c r="D62" s="12"/>
      <c r="E62" s="11" t="n">
        <v>0.327529834632892</v>
      </c>
      <c r="F62" s="11" t="n">
        <v>0.328440613603457</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v>
      </c>
      <c r="W62" s="11" t="n">
        <v>0.379880436716057</v>
      </c>
      <c r="X62" s="11" t="n">
        <v>0.37277068789526</v>
      </c>
      <c r="Y62" s="11" t="n">
        <v>0.365140849631604</v>
      </c>
      <c r="Z62" s="11" t="n">
        <v>0.342415857790606</v>
      </c>
      <c r="AA62" s="11" t="n">
        <v>0.315708552441489</v>
      </c>
      <c r="AB62" s="11" t="n">
        <v>0.305020823964381</v>
      </c>
      <c r="AC62" s="11" t="n">
        <v>0.299790969640709</v>
      </c>
      <c r="AD62" s="11" t="n">
        <v>0.320768095937011</v>
      </c>
      <c r="AE62" s="11" t="n">
        <v>0.322075958204864</v>
      </c>
      <c r="AF62" s="11" t="n">
        <v>0.311959670394575</v>
      </c>
      <c r="AG62" s="11" t="n">
        <v>0.309251429820355</v>
      </c>
      <c r="AH62" s="11" t="n">
        <v>0.315565079233617</v>
      </c>
      <c r="AI62" s="11" t="n">
        <v>0.301940140392352</v>
      </c>
      <c r="AJ62" s="11" t="n">
        <v>0.258278891681824</v>
      </c>
      <c r="AK62" s="11" t="n">
        <v>0.242181704439128</v>
      </c>
      <c r="AL62" s="11" t="n">
        <v>0.236275707145654</v>
      </c>
      <c r="AM62" s="11" t="n">
        <v>0.308341110741022</v>
      </c>
      <c r="AN62" s="11" t="n">
        <v>0.290680889005799</v>
      </c>
      <c r="AO62" s="11" t="n">
        <v>0.282093185445497</v>
      </c>
      <c r="AP62" s="11" t="n">
        <v>0.270628174515431</v>
      </c>
      <c r="AQ62" s="11" t="n">
        <v>0.263050583270999</v>
      </c>
      <c r="AR62" s="11" t="n">
        <v>0.252863907203629</v>
      </c>
      <c r="AS62" s="11" t="n">
        <v>0.243028559401552</v>
      </c>
      <c r="AT62" s="11" t="n">
        <v>0.230018125104712</v>
      </c>
      <c r="AU62" s="11" t="n">
        <v>0.212804507244426</v>
      </c>
      <c r="AV62" s="11" t="n">
        <v>0.195179896486871</v>
      </c>
      <c r="AW62" s="11" t="n">
        <v>0.193473050020806</v>
      </c>
      <c r="AX62" s="11" t="n">
        <v>0.190907926627432</v>
      </c>
      <c r="AY62" s="11" t="n">
        <v>0.170546077162698</v>
      </c>
      <c r="AZ62" s="11" t="n">
        <v>0.075442920405506</v>
      </c>
      <c r="BA62" s="11" t="n">
        <v>0.0751797957079811</v>
      </c>
      <c r="BB62" s="11" t="n">
        <v>0.0662234024314779</v>
      </c>
      <c r="BC62" s="11" t="n">
        <v>0.065765848719738</v>
      </c>
      <c r="BD62" s="11" t="n">
        <v>0.0449300562787193</v>
      </c>
      <c r="BE62" s="11" t="n">
        <v>0.0352058421964691</v>
      </c>
      <c r="BF62" s="11" t="n">
        <v>0.0351475576185037</v>
      </c>
      <c r="BG62" s="11" t="n">
        <v>0.0350405421561029</v>
      </c>
      <c r="BH62" s="11" t="n">
        <v>0.0314041998219453</v>
      </c>
      <c r="BI62" s="11" t="n">
        <v>0.0315143970426985</v>
      </c>
      <c r="BJ62" s="11" t="n">
        <v>0.0304633082187811</v>
      </c>
      <c r="BK62" s="11" t="n">
        <v>0.0247159185280302</v>
      </c>
      <c r="BL62" s="11" t="n">
        <v>0.0200778723380964</v>
      </c>
      <c r="BM62" s="11" t="n">
        <v>0.0174578894709969</v>
      </c>
      <c r="BN62" s="11" t="n">
        <v>1.3880190668534</v>
      </c>
      <c r="BO62" s="11" t="n">
        <v>1.20176568222532</v>
      </c>
      <c r="BP62" s="11" t="n">
        <v>0.825549870703313</v>
      </c>
      <c r="BQ62" s="11" t="n">
        <v>0.287304945334385</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42.3420111859096</v>
      </c>
      <c r="AO67" s="11" t="n">
        <v>41.8835898308251</v>
      </c>
      <c r="AP67" s="11" t="n">
        <v>41.7644286004424</v>
      </c>
      <c r="AQ67" s="11" t="n">
        <v>40.8785276008834</v>
      </c>
      <c r="AR67" s="11" t="n">
        <v>41.1874962907075</v>
      </c>
      <c r="AS67" s="11" t="n">
        <v>40.233602929576</v>
      </c>
      <c r="AT67" s="11" t="n">
        <v>40.2129548501473</v>
      </c>
      <c r="AU67" s="11" t="n">
        <v>39.9137832114572</v>
      </c>
      <c r="AV67" s="11" t="n">
        <v>39.2703024633116</v>
      </c>
      <c r="AW67" s="11" t="n">
        <v>38.8078835351211</v>
      </c>
      <c r="AX67" s="11" t="n">
        <v>38.6627924321681</v>
      </c>
      <c r="AY67" s="11" t="n">
        <v>38.116050378488</v>
      </c>
      <c r="AZ67" s="11" t="n">
        <v>37.4055319229608</v>
      </c>
      <c r="BA67" s="11" t="n">
        <v>37.2952462076073</v>
      </c>
      <c r="BB67" s="11" t="n">
        <v>37.3913346174006</v>
      </c>
      <c r="BC67" s="11" t="n">
        <v>37.1747607439561</v>
      </c>
      <c r="BD67" s="11" t="n">
        <v>37.7200263850886</v>
      </c>
      <c r="BE67" s="11" t="n">
        <v>38.321340822902</v>
      </c>
      <c r="BF67" s="11" t="n">
        <v>38.31138338164</v>
      </c>
      <c r="BG67" s="11" t="n">
        <v>38.0662079238445</v>
      </c>
      <c r="BH67" s="11" t="n">
        <v>37.6562702838499</v>
      </c>
      <c r="BI67" s="11" t="n">
        <v>37.21675174531</v>
      </c>
      <c r="BJ67" s="11" t="n">
        <v>36.5472583742599</v>
      </c>
      <c r="BK67" s="11" t="n">
        <v>36.816212258554</v>
      </c>
      <c r="BL67" s="11" t="n">
        <v>35.7148863863046</v>
      </c>
      <c r="BM67" s="11" t="n">
        <v>35.1995289583012</v>
      </c>
      <c r="BN67" s="11" t="n">
        <v>207.053329240301</v>
      </c>
      <c r="BO67" s="11" t="n">
        <v>202.426364882771</v>
      </c>
      <c r="BP67" s="11" t="n">
        <v>192.26256073205</v>
      </c>
      <c r="BQ67" s="11" t="n">
        <v>187.902708776955</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0.00475142288293126</v>
      </c>
      <c r="AO68" s="11" t="n">
        <v>0.004698886003617</v>
      </c>
      <c r="AP68" s="11" t="n">
        <v>0.00466698038442742</v>
      </c>
      <c r="AQ68" s="11" t="n">
        <v>0.00458135954138498</v>
      </c>
      <c r="AR68" s="11" t="n">
        <v>0.00458544422395163</v>
      </c>
      <c r="AS68" s="11" t="n">
        <v>0.00449639215675097</v>
      </c>
      <c r="AT68" s="11" t="n">
        <v>0.00447673222515847</v>
      </c>
      <c r="AU68" s="11" t="n">
        <v>0.00443901364381089</v>
      </c>
      <c r="AV68" s="11" t="n">
        <v>0.0043739421278286</v>
      </c>
      <c r="AW68" s="11" t="n">
        <v>0.00432193109154816</v>
      </c>
      <c r="AX68" s="11" t="n">
        <v>0.00429841451205016</v>
      </c>
      <c r="AY68" s="11" t="n">
        <v>0.00425075967093959</v>
      </c>
      <c r="AZ68" s="11" t="n">
        <v>0.00419144786194987</v>
      </c>
      <c r="BA68" s="11" t="n">
        <v>0.00416950359371279</v>
      </c>
      <c r="BB68" s="11" t="n">
        <v>0.00416607935770483</v>
      </c>
      <c r="BC68" s="11" t="n">
        <v>0.00413569015900142</v>
      </c>
      <c r="BD68" s="11" t="n">
        <v>0.00415840282702822</v>
      </c>
      <c r="BE68" s="11" t="n">
        <v>0.00418339211525845</v>
      </c>
      <c r="BF68" s="11" t="n">
        <v>0.00411384715788346</v>
      </c>
      <c r="BG68" s="11" t="n">
        <v>0.00402287502363162</v>
      </c>
      <c r="BH68" s="11" t="n">
        <v>0.00392017927748882</v>
      </c>
      <c r="BI68" s="11" t="n">
        <v>0.00381643655871468</v>
      </c>
      <c r="BJ68" s="11" t="n">
        <v>0.00369572511713514</v>
      </c>
      <c r="BK68" s="11" t="n">
        <v>0.00364421692349162</v>
      </c>
      <c r="BL68" s="11" t="n">
        <v>0.00349686505413399</v>
      </c>
      <c r="BM68" s="11" t="n">
        <v>0.00339591777098164</v>
      </c>
      <c r="BN68" s="11" t="n">
        <v>0.0234823254400692</v>
      </c>
      <c r="BO68" s="11" t="n">
        <v>0.0225789417910569</v>
      </c>
      <c r="BP68" s="11" t="n">
        <v>0.0214364952643164</v>
      </c>
      <c r="BQ68" s="11" t="n">
        <v>0.0208130680527057</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0.38119411208548</v>
      </c>
      <c r="AO69" s="11" t="n">
        <v>0.377052889724662</v>
      </c>
      <c r="AP69" s="11" t="n">
        <v>0.37574019571837</v>
      </c>
      <c r="AQ69" s="11" t="n">
        <v>0.367943178143495</v>
      </c>
      <c r="AR69" s="11" t="n">
        <v>0.370328810800528</v>
      </c>
      <c r="AS69" s="11" t="n">
        <v>0.361974024944651</v>
      </c>
      <c r="AT69" s="11" t="n">
        <v>0.36156363640912</v>
      </c>
      <c r="AU69" s="11" t="n">
        <v>0.358816590980137</v>
      </c>
      <c r="AV69" s="11" t="n">
        <v>0.353115886350031</v>
      </c>
      <c r="AW69" s="11" t="n">
        <v>0.348951288642682</v>
      </c>
      <c r="AX69" s="11" t="n">
        <v>0.347551414307031</v>
      </c>
      <c r="AY69" s="11" t="n">
        <v>0.342806554807986</v>
      </c>
      <c r="AZ69" s="11" t="n">
        <v>0.336674263838173</v>
      </c>
      <c r="BA69" s="11" t="n">
        <v>0.33555752827839</v>
      </c>
      <c r="BB69" s="11" t="n">
        <v>0.336238683603085</v>
      </c>
      <c r="BC69" s="11" t="n">
        <v>0.334210139956691</v>
      </c>
      <c r="BD69" s="11" t="n">
        <v>0.338620982514842</v>
      </c>
      <c r="BE69" s="11" t="n">
        <v>0.343484471699415</v>
      </c>
      <c r="BF69" s="11" t="n">
        <v>0.342509050571546</v>
      </c>
      <c r="BG69" s="11" t="n">
        <v>0.339480330862877</v>
      </c>
      <c r="BH69" s="11" t="n">
        <v>0.335055874212605</v>
      </c>
      <c r="BI69" s="11" t="n">
        <v>0.33039452479067</v>
      </c>
      <c r="BJ69" s="11" t="n">
        <v>0.323777177078213</v>
      </c>
      <c r="BK69" s="11" t="n">
        <v>0.325141057225665</v>
      </c>
      <c r="BL69" s="11" t="n">
        <v>0.314918459476323</v>
      </c>
      <c r="BM69" s="11" t="n">
        <v>0.309720701832161</v>
      </c>
      <c r="BN69" s="11" t="n">
        <v>1.86725454161884</v>
      </c>
      <c r="BO69" s="11" t="n">
        <v>1.82062624127793</v>
      </c>
      <c r="BP69" s="11" t="n">
        <v>1.7290994079459</v>
      </c>
      <c r="BQ69" s="11" t="n">
        <v>1.68811180605242</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41.8267072065194</v>
      </c>
      <c r="AN74" s="11" t="n">
        <v>39.6440964861609</v>
      </c>
      <c r="AO74" s="11" t="n">
        <v>39.0743854003587</v>
      </c>
      <c r="AP74" s="11" t="n">
        <v>39.1241349091388</v>
      </c>
      <c r="AQ74" s="11" t="n">
        <v>39.1840490709828</v>
      </c>
      <c r="AR74" s="11" t="n">
        <v>39.2404106577691</v>
      </c>
      <c r="AS74" s="11" t="n">
        <v>39.3490639595517</v>
      </c>
      <c r="AT74" s="11" t="n">
        <v>39.5833348447802</v>
      </c>
      <c r="AU74" s="11" t="n">
        <v>39.8844704864083</v>
      </c>
      <c r="AV74" s="11" t="n">
        <v>40.1640811061561</v>
      </c>
      <c r="AW74" s="11" t="n">
        <v>40.1672021821203</v>
      </c>
      <c r="AX74" s="11" t="n">
        <v>40.3226094635893</v>
      </c>
      <c r="AY74" s="11" t="n">
        <v>40.5335891757554</v>
      </c>
      <c r="AZ74" s="11" t="n">
        <v>40.9818865240207</v>
      </c>
      <c r="BA74" s="11" t="n">
        <v>41.2661611310377</v>
      </c>
      <c r="BB74" s="11" t="n">
        <v>41.6919652755719</v>
      </c>
      <c r="BC74" s="11" t="n">
        <v>42.4628641542185</v>
      </c>
      <c r="BD74" s="11" t="n">
        <v>43.4338318021535</v>
      </c>
      <c r="BE74" s="11" t="n">
        <v>43.8277068135824</v>
      </c>
      <c r="BF74" s="11" t="n">
        <v>44.3671205442614</v>
      </c>
      <c r="BG74" s="11" t="n">
        <v>44.8626165531294</v>
      </c>
      <c r="BH74" s="11" t="n">
        <v>45.4713835832831</v>
      </c>
      <c r="BI74" s="11" t="n">
        <v>46.1413673508534</v>
      </c>
      <c r="BJ74" s="11" t="n">
        <v>46.6796966495728</v>
      </c>
      <c r="BK74" s="11" t="n">
        <v>47.3360606428695</v>
      </c>
      <c r="BL74" s="11" t="n">
        <v>47.9101646196947</v>
      </c>
      <c r="BM74" s="11" t="n">
        <v>48.5896066795895</v>
      </c>
      <c r="BN74" s="11" t="n">
        <v>211.214469428138</v>
      </c>
      <c r="BO74" s="11" t="n">
        <v>197.241329019492</v>
      </c>
      <c r="BP74" s="11" t="n">
        <v>202.169368451642</v>
      </c>
      <c r="BQ74" s="11" t="n">
        <v>212.682529176564</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0.124219774039943</v>
      </c>
      <c r="AN75" s="11" t="n">
        <v>0.121962175738252</v>
      </c>
      <c r="AO75" s="11" t="n">
        <v>0.12202844667674</v>
      </c>
      <c r="AP75" s="11" t="n">
        <v>0.12197023406351</v>
      </c>
      <c r="AQ75" s="11" t="n">
        <v>0.122910077638357</v>
      </c>
      <c r="AR75" s="11" t="n">
        <v>0.123177631887751</v>
      </c>
      <c r="AS75" s="11" t="n">
        <v>0.12343393666244</v>
      </c>
      <c r="AT75" s="11" t="n">
        <v>0.124250864783271</v>
      </c>
      <c r="AU75" s="11" t="n">
        <v>0.12460520730409</v>
      </c>
      <c r="AV75" s="11" t="n">
        <v>0.124235663939624</v>
      </c>
      <c r="AW75" s="11" t="n">
        <v>0.122838455167984</v>
      </c>
      <c r="AX75" s="11" t="n">
        <v>0.119919720091447</v>
      </c>
      <c r="AY75" s="11" t="n">
        <v>0.117029028908966</v>
      </c>
      <c r="AZ75" s="11" t="n">
        <v>0.112495387837789</v>
      </c>
      <c r="BA75" s="11" t="n">
        <v>0.109858257588794</v>
      </c>
      <c r="BB75" s="11" t="n">
        <v>0.109338598696275</v>
      </c>
      <c r="BC75" s="11" t="n">
        <v>0.110410228094218</v>
      </c>
      <c r="BD75" s="11" t="n">
        <v>0.111110326612537</v>
      </c>
      <c r="BE75" s="11" t="n">
        <v>0.111461161612188</v>
      </c>
      <c r="BF75" s="11" t="n">
        <v>0.113065983124164</v>
      </c>
      <c r="BG75" s="11" t="n">
        <v>0.114700129548346</v>
      </c>
      <c r="BH75" s="11" t="n">
        <v>0.116194602520854</v>
      </c>
      <c r="BI75" s="11" t="n">
        <v>0.117611502592467</v>
      </c>
      <c r="BJ75" s="11" t="n">
        <v>0.118945522902024</v>
      </c>
      <c r="BK75" s="11" t="n">
        <v>0.120473368534401</v>
      </c>
      <c r="BL75" s="11" t="n">
        <v>0.122249597915485</v>
      </c>
      <c r="BM75" s="11" t="n">
        <v>0.124077655686018</v>
      </c>
      <c r="BN75" s="11" t="n">
        <v>0.626782899717057</v>
      </c>
      <c r="BO75" s="11" t="n">
        <v>0.618377718275909</v>
      </c>
      <c r="BP75" s="11" t="n">
        <v>0.59651825594581</v>
      </c>
      <c r="BQ75" s="11" t="n">
        <v>0.552178572604013</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4.86435115055119</v>
      </c>
      <c r="O76" s="11" t="n">
        <v>5.03119711253612</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0.482486962557309</v>
      </c>
      <c r="AB76" s="11" t="n">
        <v>0.429079725761066</v>
      </c>
      <c r="AC76" s="11" t="n">
        <v>0.460815168912919</v>
      </c>
      <c r="AD76" s="11" t="n">
        <v>0.418050736965471</v>
      </c>
      <c r="AE76" s="11" t="n">
        <v>0.386513048337779</v>
      </c>
      <c r="AF76" s="11" t="n">
        <v>0.412200815328678</v>
      </c>
      <c r="AG76" s="11" t="n">
        <v>0.429228078343805</v>
      </c>
      <c r="AH76" s="11" t="n">
        <v>0.415869088543474</v>
      </c>
      <c r="AI76" s="11" t="n">
        <v>0.341792392713469</v>
      </c>
      <c r="AJ76" s="11" t="n">
        <v>0.338920120245381</v>
      </c>
      <c r="AK76" s="11" t="n">
        <v>0.304056990866258</v>
      </c>
      <c r="AL76" s="11" t="n">
        <v>0.320998168689842</v>
      </c>
      <c r="AM76" s="11" t="n">
        <v>0.308762907490412</v>
      </c>
      <c r="AN76" s="11" t="n">
        <v>0.308354646110908</v>
      </c>
      <c r="AO76" s="11" t="n">
        <v>0.309122851983159</v>
      </c>
      <c r="AP76" s="11" t="n">
        <v>0.309899386307132</v>
      </c>
      <c r="AQ76" s="11" t="n">
        <v>0.311538990299701</v>
      </c>
      <c r="AR76" s="11" t="n">
        <v>0.313628619587198</v>
      </c>
      <c r="AS76" s="11" t="n">
        <v>0.316321227417202</v>
      </c>
      <c r="AT76" s="11" t="n">
        <v>0.318255866264557</v>
      </c>
      <c r="AU76" s="11" t="n">
        <v>0.319557075230624</v>
      </c>
      <c r="AV76" s="11" t="n">
        <v>0.319972039742322</v>
      </c>
      <c r="AW76" s="11" t="n">
        <v>0.319662725135243</v>
      </c>
      <c r="AX76" s="11" t="n">
        <v>0.31752015210255</v>
      </c>
      <c r="AY76" s="11" t="n">
        <v>0.314835469010441</v>
      </c>
      <c r="AZ76" s="11" t="n">
        <v>0.31129237026144</v>
      </c>
      <c r="BA76" s="11" t="n">
        <v>0.310970682523786</v>
      </c>
      <c r="BB76" s="11" t="n">
        <v>0.313748227268054</v>
      </c>
      <c r="BC76" s="11" t="n">
        <v>0.317225028257279</v>
      </c>
      <c r="BD76" s="11" t="n">
        <v>0.320456659009519</v>
      </c>
      <c r="BE76" s="11" t="n">
        <v>0.323136072505661</v>
      </c>
      <c r="BF76" s="11" t="n">
        <v>0.327414771413605</v>
      </c>
      <c r="BG76" s="11" t="n">
        <v>0.331745146230803</v>
      </c>
      <c r="BH76" s="11" t="n">
        <v>0.335901289892459</v>
      </c>
      <c r="BI76" s="11" t="n">
        <v>0.340467861603451</v>
      </c>
      <c r="BJ76" s="11" t="n">
        <v>0.344966401873222</v>
      </c>
      <c r="BK76" s="11" t="n">
        <v>0.34969778313292</v>
      </c>
      <c r="BL76" s="11" t="n">
        <v>0.35478898155904</v>
      </c>
      <c r="BM76" s="11" t="n">
        <v>0.359939466798064</v>
      </c>
      <c r="BN76" s="11" t="n">
        <v>1.55713796058145</v>
      </c>
      <c r="BO76" s="11" t="n">
        <v>1.57930177879928</v>
      </c>
      <c r="BP76" s="11" t="n">
        <v>1.583282756252</v>
      </c>
      <c r="BQ76" s="11" t="n">
        <v>1.5855366695643</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14.0785716356003</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2.69499743669116</v>
      </c>
      <c r="S77" s="11" t="n">
        <v>1.12703958186289</v>
      </c>
      <c r="T77" s="11" t="n">
        <v>1.17738858479048</v>
      </c>
      <c r="U77" s="11" t="n">
        <v>1.18654379751043</v>
      </c>
      <c r="V77" s="11" t="n">
        <v>0.998444187189309</v>
      </c>
      <c r="W77" s="11" t="n">
        <v>0.98434467653681</v>
      </c>
      <c r="X77" s="11" t="n">
        <v>0.986717488794266</v>
      </c>
      <c r="Y77" s="11" t="n">
        <v>1.04360027741906</v>
      </c>
      <c r="Z77" s="11" t="n">
        <v>1.12555768771586</v>
      </c>
      <c r="AA77" s="11" t="n">
        <v>1.18240823535114</v>
      </c>
      <c r="AB77" s="11" t="n">
        <v>1.19754396726382</v>
      </c>
      <c r="AC77" s="11" t="n">
        <v>1.09407297472769</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0.482864113787379</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0.186590750928914</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0.0919996124852703</v>
      </c>
      <c r="BH77" s="11" t="n">
        <v>0.0844347772643882</v>
      </c>
      <c r="BI77" s="11" t="n">
        <v>0.0775333629874345</v>
      </c>
      <c r="BJ77" s="11" t="n">
        <v>0.0713179532877864</v>
      </c>
      <c r="BK77" s="11" t="n">
        <v>0.0658073414465578</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1.48366130882975</v>
      </c>
      <c r="F78" s="11" t="n">
        <v>1.24305334298279</v>
      </c>
      <c r="G78" s="11" t="n">
        <v>0.617640551647897</v>
      </c>
      <c r="H78" s="11" t="n">
        <v>0.538700846476154</v>
      </c>
      <c r="I78" s="11" t="n">
        <v>0.546409279966551</v>
      </c>
      <c r="J78" s="11" t="n">
        <v>0.532812121772292</v>
      </c>
      <c r="K78" s="11" t="n">
        <v>0.530646387885412</v>
      </c>
      <c r="L78" s="11" t="n">
        <v>0.44445268402011</v>
      </c>
      <c r="M78" s="11" t="n">
        <v>0.43171766732139</v>
      </c>
      <c r="N78" s="11" t="n">
        <v>0.407642882276656</v>
      </c>
      <c r="O78" s="11" t="n">
        <v>0.51344845306472</v>
      </c>
      <c r="P78" s="11" t="n">
        <v>0.426851949457178</v>
      </c>
      <c r="Q78" s="11" t="n">
        <v>0.358954196446408</v>
      </c>
      <c r="R78" s="11" t="n">
        <v>0.313808976049458</v>
      </c>
      <c r="S78" s="11" t="n">
        <v>0.398856113928176</v>
      </c>
      <c r="T78" s="11" t="n">
        <v>0.365128105171605</v>
      </c>
      <c r="U78" s="11" t="n">
        <v>0.367555231485997</v>
      </c>
      <c r="V78" s="11" t="n">
        <v>0.276529099776064</v>
      </c>
      <c r="W78" s="11" t="n">
        <v>0.254880819288731</v>
      </c>
      <c r="X78" s="11" t="n">
        <v>0.19500676652889</v>
      </c>
      <c r="Y78" s="11" t="n">
        <v>0.281496039558142</v>
      </c>
      <c r="Z78" s="11" t="n">
        <v>0.399303588048535</v>
      </c>
      <c r="AA78" s="11" t="n">
        <v>0.243138181819986</v>
      </c>
      <c r="AB78" s="11" t="n">
        <v>0.294217429839836</v>
      </c>
      <c r="AC78" s="11" t="n">
        <v>0.23782779605641</v>
      </c>
      <c r="AD78" s="11" t="n">
        <v>0.274427975434271</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0.145322964863699</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0.788373788456026</v>
      </c>
      <c r="BP78" s="11" t="n">
        <v>0.788373788456026</v>
      </c>
      <c r="BQ78" s="11" t="n">
        <v>0.788373788456026</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0.426418736992623</v>
      </c>
      <c r="AE79" s="11" t="n">
        <v>0.458386532676318</v>
      </c>
      <c r="AF79" s="11" t="n">
        <v>0.460093295564997</v>
      </c>
      <c r="AG79" s="11" t="n">
        <v>0.565037427403676</v>
      </c>
      <c r="AH79" s="11" t="n">
        <v>0.49719676355469</v>
      </c>
      <c r="AI79" s="11" t="n">
        <v>0.425406162786779</v>
      </c>
      <c r="AJ79" s="11" t="n">
        <v>0.38749956929647</v>
      </c>
      <c r="AK79" s="11" t="n">
        <v>0.333442729385777</v>
      </c>
      <c r="AL79" s="11" t="n">
        <v>0.301791676439176</v>
      </c>
      <c r="AM79" s="11" t="n">
        <v>0.307854862676676</v>
      </c>
      <c r="AN79" s="11" t="n">
        <v>0.314290204270113</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0.372815184884234</v>
      </c>
      <c r="AW79" s="11" t="n">
        <v>0.380977508595361</v>
      </c>
      <c r="AX79" s="11" t="n">
        <v>0.389343890399265</v>
      </c>
      <c r="AY79" s="11" t="n">
        <v>0.389343890399265</v>
      </c>
      <c r="AZ79" s="11" t="n">
        <v>0.389343890399265</v>
      </c>
      <c r="BA79" s="11" t="n">
        <v>0.389343890399265</v>
      </c>
      <c r="BB79" s="11" t="n">
        <v>0.389343890399265</v>
      </c>
      <c r="BC79" s="11" t="n">
        <v>0.389343890399265</v>
      </c>
      <c r="BD79" s="11" t="n">
        <v>0.389343890399265</v>
      </c>
      <c r="BE79" s="11" t="n">
        <v>0.389343890399265</v>
      </c>
      <c r="BF79" s="11" t="n">
        <v>0.389343890399265</v>
      </c>
      <c r="BG79" s="11" t="n">
        <v>0.389343890399265</v>
      </c>
      <c r="BH79" s="11" t="n">
        <v>0.389343890399265</v>
      </c>
      <c r="BI79" s="11" t="n">
        <v>0.389343890399265</v>
      </c>
      <c r="BJ79" s="11" t="n">
        <v>0.389343890399265</v>
      </c>
      <c r="BK79" s="11" t="n">
        <v>0.389343890399265</v>
      </c>
      <c r="BL79" s="11" t="n">
        <v>0.389343890399265</v>
      </c>
      <c r="BM79" s="11" t="n">
        <v>0.389343890399265</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5.55186504357902</v>
      </c>
      <c r="H82" s="11" t="n">
        <v>5.54746647872344</v>
      </c>
      <c r="I82" s="11" t="n">
        <v>5.53902951394119</v>
      </c>
      <c r="J82" s="11" t="n">
        <v>5.54965155198649</v>
      </c>
      <c r="K82" s="11" t="n">
        <v>5.53405930164697</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5.57797283010562</v>
      </c>
      <c r="X82" s="11" t="n">
        <v>5.57878522339053</v>
      </c>
      <c r="Y82" s="11" t="n">
        <v>5.60501096444991</v>
      </c>
      <c r="Z82" s="11" t="n">
        <v>5.62372281146323</v>
      </c>
      <c r="AA82" s="11" t="n">
        <v>5.61193731105979</v>
      </c>
      <c r="AB82" s="11" t="n">
        <v>5.62617031143543</v>
      </c>
      <c r="AC82" s="11" t="n">
        <v>5.60602836886574</v>
      </c>
      <c r="AD82" s="11" t="n">
        <v>5.62278898771431</v>
      </c>
      <c r="AE82" s="11" t="n">
        <v>5.64143854355453</v>
      </c>
      <c r="AF82" s="11" t="n">
        <v>5.63907784389892</v>
      </c>
      <c r="AG82" s="11" t="n">
        <v>5.69160270708721</v>
      </c>
      <c r="AH82" s="11" t="n">
        <v>5.70956542589149</v>
      </c>
      <c r="AI82" s="11" t="n">
        <v>5.68909600002544</v>
      </c>
      <c r="AJ82" s="11" t="n">
        <v>5.69657165648638</v>
      </c>
      <c r="AK82" s="11" t="n">
        <v>5.71939302059153</v>
      </c>
      <c r="AL82" s="11" t="n">
        <v>5.75129142539663</v>
      </c>
      <c r="AM82" s="11" t="n">
        <v>5.77843961940047</v>
      </c>
      <c r="AN82" s="11" t="n">
        <v>5.82893431121417</v>
      </c>
      <c r="AO82" s="11" t="n">
        <v>5.87516461238546</v>
      </c>
      <c r="AP82" s="11" t="n">
        <v>5.92092678246998</v>
      </c>
      <c r="AQ82" s="11" t="n">
        <v>5.96055627423853</v>
      </c>
      <c r="AR82" s="11" t="n">
        <v>6.00469813847712</v>
      </c>
      <c r="AS82" s="11" t="n">
        <v>6.04871755683646</v>
      </c>
      <c r="AT82" s="11" t="n">
        <v>6.05489975770093</v>
      </c>
      <c r="AU82" s="11" t="n">
        <v>6.05930697368643</v>
      </c>
      <c r="AV82" s="11" t="n">
        <v>6.05892463983378</v>
      </c>
      <c r="AW82" s="11" t="n">
        <v>6.05840612219305</v>
      </c>
      <c r="AX82" s="11" t="n">
        <v>6.05759619889438</v>
      </c>
      <c r="AY82" s="11" t="n">
        <v>6.05669382061206</v>
      </c>
      <c r="AZ82" s="11" t="n">
        <v>6.05564215321823</v>
      </c>
      <c r="BA82" s="11" t="n">
        <v>6.05407666296171</v>
      </c>
      <c r="BB82" s="11" t="n">
        <v>6.05265111772195</v>
      </c>
      <c r="BC82" s="11" t="n">
        <v>6.05111180786035</v>
      </c>
      <c r="BD82" s="11" t="n">
        <v>6.05087833472176</v>
      </c>
      <c r="BE82" s="11" t="n">
        <v>6.05117502944991</v>
      </c>
      <c r="BF82" s="11" t="n">
        <v>6.05153060471665</v>
      </c>
      <c r="BG82" s="11" t="n">
        <v>6.04367299685357</v>
      </c>
      <c r="BH82" s="11" t="n">
        <v>6.03767307245211</v>
      </c>
      <c r="BI82" s="11" t="n">
        <v>6.02978817960862</v>
      </c>
      <c r="BJ82" s="11" t="n">
        <v>6.02218043965274</v>
      </c>
      <c r="BK82" s="11" t="n">
        <v>6.01467645946509</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1.54590973355711</v>
      </c>
      <c r="U83" s="11" t="n">
        <v>1.51233022580462</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23.2896131299309</v>
      </c>
      <c r="AD89" s="11" t="n">
        <v>22.4598930752036</v>
      </c>
      <c r="AE89" s="11" t="n">
        <v>21.2504093971715</v>
      </c>
      <c r="AF89" s="11" t="n">
        <v>21.5202362651174</v>
      </c>
      <c r="AG89" s="11" t="n">
        <v>21.3909566422106</v>
      </c>
      <c r="AH89" s="11" t="n">
        <v>20.9216203724665</v>
      </c>
      <c r="AI89" s="11" t="n">
        <v>19.3965300882596</v>
      </c>
      <c r="AJ89" s="11" t="n">
        <v>18.2511641416297</v>
      </c>
      <c r="AK89" s="11" t="n">
        <v>18.1536780644355</v>
      </c>
      <c r="AL89" s="11" t="n">
        <v>17.9881834052639</v>
      </c>
      <c r="AM89" s="11" t="n">
        <v>17.1816180724298</v>
      </c>
      <c r="AN89" s="11" t="n">
        <v>16.805332368613</v>
      </c>
      <c r="AO89" s="11" t="n">
        <v>16.3804599170286</v>
      </c>
      <c r="AP89" s="11" t="n">
        <v>16.6856540403366</v>
      </c>
      <c r="AQ89" s="11" t="n">
        <v>15.7084044980238</v>
      </c>
      <c r="AR89" s="11" t="n">
        <v>14.8484486297686</v>
      </c>
      <c r="AS89" s="11" t="n">
        <v>14.058023031111</v>
      </c>
      <c r="AT89" s="11" t="n">
        <v>13.3612765882142</v>
      </c>
      <c r="AU89" s="11" t="n">
        <v>12.7482354035582</v>
      </c>
      <c r="AV89" s="11" t="n">
        <v>12.2106731334783</v>
      </c>
      <c r="AW89" s="11" t="n">
        <v>11.7432322229737</v>
      </c>
      <c r="AX89" s="11" t="n">
        <v>11.3381303755507</v>
      </c>
      <c r="AY89" s="11" t="n">
        <v>10.9873473505523</v>
      </c>
      <c r="AZ89" s="11" t="n">
        <v>10.6831763987796</v>
      </c>
      <c r="BA89" s="11" t="n">
        <v>10.4215025415605</v>
      </c>
      <c r="BB89" s="11" t="n">
        <v>10.1985929507016</v>
      </c>
      <c r="BC89" s="11" t="n">
        <v>10.0113030599559</v>
      </c>
      <c r="BD89" s="11" t="n">
        <v>9.89321071609362</v>
      </c>
      <c r="BE89" s="11" t="n">
        <v>9.8046886607539</v>
      </c>
      <c r="BF89" s="11" t="n">
        <v>9.74328347267451</v>
      </c>
      <c r="BG89" s="11" t="n">
        <v>9.70676731636727</v>
      </c>
      <c r="BH89" s="11" t="n">
        <v>9.69387380412161</v>
      </c>
      <c r="BI89" s="11" t="n">
        <v>9.7013006501212</v>
      </c>
      <c r="BJ89" s="11" t="n">
        <v>9.72719598973844</v>
      </c>
      <c r="BK89" s="11" t="n">
        <v>9.77005327826599</v>
      </c>
      <c r="BL89" s="11" t="n">
        <v>9.82869102542336</v>
      </c>
      <c r="BM89" s="11" t="n">
        <v>9.90200865914175</v>
      </c>
      <c r="BN89" s="11" t="n">
        <v>85.0412478036718</v>
      </c>
      <c r="BO89" s="11" t="n">
        <v>70.7243881506757</v>
      </c>
      <c r="BP89" s="11" t="n">
        <v>56.9625594813346</v>
      </c>
      <c r="BQ89" s="11" t="n">
        <v>50.3292979290655</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0.904938172599068</v>
      </c>
      <c r="I90" s="11" t="n">
        <v>0.914476012595916</v>
      </c>
      <c r="J90" s="11" t="n">
        <v>0.933558892577923</v>
      </c>
      <c r="K90" s="11" t="n">
        <v>0.968449580784931</v>
      </c>
      <c r="L90" s="11" t="n">
        <v>0.97969326745571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9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0.63"/>
    <col collapsed="false" customWidth="true" hidden="false" outlineLevel="0" max="2" min="2" style="1" width="42.34"/>
    <col collapsed="false" customWidth="true" hidden="false" outlineLevel="0" max="3" min="3" style="1" width="7.66"/>
    <col collapsed="false" customWidth="true" hidden="false" outlineLevel="0" max="4" min="4" style="1" width="10.63"/>
    <col collapsed="false" customWidth="true" hidden="false" outlineLevel="0" max="65" min="5" style="1" width="7.66"/>
    <col collapsed="false" customWidth="true" hidden="false" outlineLevel="0" max="66" min="66" style="1" width="11.08"/>
    <col collapsed="false" customWidth="true" hidden="false" outlineLevel="0" max="69" min="67" style="1" width="7.66"/>
    <col collapsed="false" customWidth="false" hidden="false" outlineLevel="0" max="16384" min="70" style="1" width="10.81"/>
  </cols>
  <sheetData>
    <row r="1" customFormat="false" ht="19.7" hidden="false" customHeight="false" outlineLevel="0" collapsed="false">
      <c r="A1" s="6" t="s">
        <v>164</v>
      </c>
    </row>
    <row r="2" customFormat="false" ht="13.8" hidden="false" customHeight="false" outlineLevel="0" collapsed="false">
      <c r="A2" s="1" t="s">
        <v>68</v>
      </c>
    </row>
    <row r="3" customFormat="false" ht="13.8" hidden="false" customHeight="false" outlineLevel="0" collapsed="false">
      <c r="A3" s="7" t="s">
        <v>69</v>
      </c>
      <c r="B3" s="7" t="s">
        <v>70</v>
      </c>
      <c r="C3" s="7" t="s">
        <v>71</v>
      </c>
      <c r="D3" s="7" t="s">
        <v>38</v>
      </c>
      <c r="E3" s="10" t="s">
        <v>72</v>
      </c>
      <c r="F3" s="10" t="s">
        <v>73</v>
      </c>
      <c r="G3" s="10" t="s">
        <v>74</v>
      </c>
      <c r="H3" s="10" t="s">
        <v>75</v>
      </c>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0" t="s">
        <v>93</v>
      </c>
      <c r="AA3" s="10" t="s">
        <v>94</v>
      </c>
      <c r="AB3" s="10" t="s">
        <v>95</v>
      </c>
      <c r="AC3" s="10" t="s">
        <v>96</v>
      </c>
      <c r="AD3" s="10" t="s">
        <v>97</v>
      </c>
      <c r="AE3" s="10" t="s">
        <v>98</v>
      </c>
      <c r="AF3" s="10" t="s">
        <v>99</v>
      </c>
      <c r="AG3" s="10" t="s">
        <v>100</v>
      </c>
      <c r="AH3" s="10" t="s">
        <v>101</v>
      </c>
      <c r="AI3" s="10" t="s">
        <v>102</v>
      </c>
      <c r="AJ3" s="10" t="s">
        <v>103</v>
      </c>
      <c r="AK3" s="10" t="s">
        <v>104</v>
      </c>
      <c r="AL3" s="10" t="s">
        <v>105</v>
      </c>
      <c r="AM3" s="10" t="s">
        <v>106</v>
      </c>
      <c r="AN3" s="10" t="s">
        <v>107</v>
      </c>
      <c r="AO3" s="10" t="s">
        <v>108</v>
      </c>
      <c r="AP3" s="10" t="s">
        <v>109</v>
      </c>
      <c r="AQ3" s="10" t="s">
        <v>110</v>
      </c>
      <c r="AR3" s="10" t="s">
        <v>111</v>
      </c>
      <c r="AS3" s="10" t="s">
        <v>112</v>
      </c>
      <c r="AT3" s="10" t="s">
        <v>113</v>
      </c>
      <c r="AU3" s="10" t="s">
        <v>114</v>
      </c>
      <c r="AV3" s="10" t="s">
        <v>115</v>
      </c>
      <c r="AW3" s="10" t="s">
        <v>116</v>
      </c>
      <c r="AX3" s="10" t="s">
        <v>117</v>
      </c>
      <c r="AY3" s="10" t="s">
        <v>118</v>
      </c>
      <c r="AZ3" s="10" t="s">
        <v>119</v>
      </c>
      <c r="BA3" s="10" t="s">
        <v>120</v>
      </c>
      <c r="BB3" s="10" t="s">
        <v>121</v>
      </c>
      <c r="BC3" s="10" t="s">
        <v>122</v>
      </c>
      <c r="BD3" s="10" t="s">
        <v>123</v>
      </c>
      <c r="BE3" s="10" t="s">
        <v>124</v>
      </c>
      <c r="BF3" s="10" t="s">
        <v>125</v>
      </c>
      <c r="BG3" s="10" t="s">
        <v>126</v>
      </c>
      <c r="BH3" s="10" t="s">
        <v>127</v>
      </c>
      <c r="BI3" s="10" t="s">
        <v>128</v>
      </c>
      <c r="BJ3" s="10" t="s">
        <v>129</v>
      </c>
      <c r="BK3" s="10" t="s">
        <v>130</v>
      </c>
      <c r="BL3" s="10" t="s">
        <v>131</v>
      </c>
      <c r="BM3" s="10" t="s">
        <v>132</v>
      </c>
      <c r="BN3" s="10" t="s">
        <v>133</v>
      </c>
      <c r="BO3" s="10" t="s">
        <v>134</v>
      </c>
      <c r="BP3" s="10" t="s">
        <v>135</v>
      </c>
      <c r="BQ3" s="10" t="s">
        <v>136</v>
      </c>
    </row>
    <row r="4" customFormat="false" ht="35" hidden="false" customHeight="true" outlineLevel="0" collapsed="false">
      <c r="A4" s="11" t="s">
        <v>137</v>
      </c>
      <c r="B4" s="11" t="s">
        <v>138</v>
      </c>
      <c r="C4" s="11" t="s">
        <v>139</v>
      </c>
      <c r="D4" s="12" t="str">
        <f aca="false">HYPERLINK("#Notes!A11","[note 8]")</f>
        <v>[note 8]</v>
      </c>
      <c r="E4" s="11" t="n">
        <v>810.709255012242</v>
      </c>
      <c r="F4" s="11" t="n">
        <v>819.232835965868</v>
      </c>
      <c r="G4" s="11" t="n">
        <v>797.975416755641</v>
      </c>
      <c r="H4" s="11" t="n">
        <v>778.360752029278</v>
      </c>
      <c r="I4" s="11" t="n">
        <v>765.820753611057</v>
      </c>
      <c r="J4" s="11" t="n">
        <v>759.200161760264</v>
      </c>
      <c r="K4" s="11" t="n">
        <v>779.071811500092</v>
      </c>
      <c r="L4" s="11" t="n">
        <v>754.348439372073</v>
      </c>
      <c r="M4" s="11" t="n">
        <v>752.428843510785</v>
      </c>
      <c r="N4" s="11" t="n">
        <v>724.319757328424</v>
      </c>
      <c r="O4" s="11" t="n">
        <v>724.257464453897</v>
      </c>
      <c r="P4" s="11" t="n">
        <v>726.755864661624</v>
      </c>
      <c r="Q4" s="11" t="n">
        <v>705.612849652062</v>
      </c>
      <c r="R4" s="11" t="n">
        <v>711.601901472662</v>
      </c>
      <c r="S4" s="11" t="n">
        <v>707.60547351919</v>
      </c>
      <c r="T4" s="11" t="n">
        <v>699.294547450512</v>
      </c>
      <c r="U4" s="11" t="n">
        <v>692.796653693202</v>
      </c>
      <c r="V4" s="11" t="n">
        <v>679.406078155204</v>
      </c>
      <c r="W4" s="11" t="n">
        <v>657.988301472381</v>
      </c>
      <c r="X4" s="11" t="n">
        <v>601.307348285844</v>
      </c>
      <c r="Y4" s="11" t="n">
        <v>615.79060353948</v>
      </c>
      <c r="Z4" s="11" t="n">
        <v>570.584923743447</v>
      </c>
      <c r="AA4" s="11" t="n">
        <v>586.959104018413</v>
      </c>
      <c r="AB4" s="11" t="n">
        <v>573.861966129161</v>
      </c>
      <c r="AC4" s="11" t="n">
        <v>530.7190857089</v>
      </c>
      <c r="AD4" s="11" t="n">
        <v>510.227946398818</v>
      </c>
      <c r="AE4" s="11" t="n">
        <v>483.47136563197</v>
      </c>
      <c r="AF4" s="11" t="n">
        <v>471.309792398738</v>
      </c>
      <c r="AG4" s="11" t="n">
        <v>464.279466519817</v>
      </c>
      <c r="AH4" s="11" t="n">
        <v>447.515616271279</v>
      </c>
      <c r="AI4" s="11" t="n">
        <v>407.975238765153</v>
      </c>
      <c r="AJ4" s="11" t="n">
        <v>422.475570116601</v>
      </c>
      <c r="AK4" s="11" t="n">
        <v>404.682267986786</v>
      </c>
      <c r="AL4" s="11" t="n">
        <v>384.972556090126</v>
      </c>
      <c r="AM4" s="11" t="n">
        <v>371.759487375243</v>
      </c>
      <c r="AN4" s="11" t="n">
        <v>363.16220328069</v>
      </c>
      <c r="AO4" s="11" t="n">
        <v>355.320294249585</v>
      </c>
      <c r="AP4" s="11" t="n">
        <v>349.464314107462</v>
      </c>
      <c r="AQ4" s="11" t="n">
        <v>342.196922748121</v>
      </c>
      <c r="AR4" s="11" t="n">
        <v>336.926488506423</v>
      </c>
      <c r="AS4" s="11" t="n">
        <v>330.628410013566</v>
      </c>
      <c r="AT4" s="11" t="n">
        <v>323.681440757981</v>
      </c>
      <c r="AU4" s="11" t="n">
        <v>318.088124593316</v>
      </c>
      <c r="AV4" s="11" t="n">
        <v>313.072751971325</v>
      </c>
      <c r="AW4" s="11" t="n">
        <v>309.233952618359</v>
      </c>
      <c r="AX4" s="11" t="n">
        <v>307.666427894966</v>
      </c>
      <c r="AY4" s="11" t="n">
        <v>304.624583512344</v>
      </c>
      <c r="AZ4" s="11" t="n">
        <v>302.792084914866</v>
      </c>
      <c r="BA4" s="11" t="n">
        <v>300.301897540691</v>
      </c>
      <c r="BB4" s="11" t="n">
        <v>297.922451562799</v>
      </c>
      <c r="BC4" s="11" t="n">
        <v>296.662461584084</v>
      </c>
      <c r="BD4" s="11" t="n">
        <v>296.085739714388</v>
      </c>
      <c r="BE4" s="11" t="n">
        <v>295.830846753303</v>
      </c>
      <c r="BF4" s="11" t="n">
        <v>295.857193105269</v>
      </c>
      <c r="BG4" s="11" t="n">
        <v>296.376530166339</v>
      </c>
      <c r="BH4" s="11" t="n">
        <v>296.120290547034</v>
      </c>
      <c r="BI4" s="11" t="n">
        <v>296.726797576236</v>
      </c>
      <c r="BJ4" s="11" t="n">
        <v>297.429693084272</v>
      </c>
      <c r="BK4" s="11" t="n">
        <v>298.383145782916</v>
      </c>
      <c r="BL4" s="11" t="n">
        <v>296.438619106604</v>
      </c>
      <c r="BM4" s="11" t="n">
        <v>294.163508881453</v>
      </c>
      <c r="BN4" s="11" t="n">
        <v>1824.67885510311</v>
      </c>
      <c r="BO4" s="11" t="n">
        <v>1651.52138661941</v>
      </c>
      <c r="BP4" s="11" t="n">
        <v>1537.38980091186</v>
      </c>
      <c r="BQ4" s="11" t="n">
        <v>1486.80339715527</v>
      </c>
    </row>
    <row r="5" customFormat="false" ht="13.8" hidden="false" customHeight="false" outlineLevel="0" collapsed="false">
      <c r="A5" s="11" t="s">
        <v>137</v>
      </c>
      <c r="B5" s="11" t="s">
        <v>140</v>
      </c>
      <c r="C5" s="11" t="s">
        <v>139</v>
      </c>
      <c r="D5" s="12" t="str">
        <f aca="false">HYPERLINK("#Notes!A12","[note 9]")</f>
        <v>[note 9]</v>
      </c>
      <c r="E5" s="11" t="n">
        <v>834.356590479365</v>
      </c>
      <c r="F5" s="11" t="n">
        <v>842.456647743761</v>
      </c>
      <c r="G5" s="11" t="n">
        <v>823.042893431072</v>
      </c>
      <c r="H5" s="11" t="n">
        <v>804.435460355682</v>
      </c>
      <c r="I5" s="11" t="n">
        <v>792.157660272504</v>
      </c>
      <c r="J5" s="11" t="n">
        <v>787.218444791921</v>
      </c>
      <c r="K5" s="11" t="n">
        <v>808.891923283265</v>
      </c>
      <c r="L5" s="11" t="n">
        <v>786.47143153029</v>
      </c>
      <c r="M5" s="11" t="n">
        <v>787.532224501711</v>
      </c>
      <c r="N5" s="11" t="n">
        <v>759.195275715284</v>
      </c>
      <c r="O5" s="11" t="n">
        <v>761.172934035596</v>
      </c>
      <c r="P5" s="11" t="n">
        <v>763.550794034655</v>
      </c>
      <c r="Q5" s="11" t="n">
        <v>740.719362643962</v>
      </c>
      <c r="R5" s="11" t="n">
        <v>746.930906955178</v>
      </c>
      <c r="S5" s="11" t="n">
        <v>746.83423123169</v>
      </c>
      <c r="T5" s="11" t="n">
        <v>741.023336227459</v>
      </c>
      <c r="U5" s="11" t="n">
        <v>735.971608345291</v>
      </c>
      <c r="V5" s="11" t="n">
        <v>722.469097040419</v>
      </c>
      <c r="W5" s="11" t="n">
        <v>703.768666657802</v>
      </c>
      <c r="X5" s="11" t="n">
        <v>645.571656510618</v>
      </c>
      <c r="Y5" s="11" t="n">
        <v>658.019591295758</v>
      </c>
      <c r="Z5" s="11" t="n">
        <v>613.68241437905</v>
      </c>
      <c r="AA5" s="11" t="n">
        <v>628.016064411359</v>
      </c>
      <c r="AB5" s="11" t="n">
        <v>615.898203069532</v>
      </c>
      <c r="AC5" s="11" t="n">
        <v>572.120629104817</v>
      </c>
      <c r="AD5" s="11" t="n">
        <v>551.716616891593</v>
      </c>
      <c r="AE5" s="11" t="n">
        <v>526.094114882392</v>
      </c>
      <c r="AF5" s="11" t="n">
        <v>516.21004666222</v>
      </c>
      <c r="AG5" s="11" t="n">
        <v>508.753673346381</v>
      </c>
      <c r="AH5" s="11" t="n">
        <v>490.887574309471</v>
      </c>
      <c r="AI5" s="11" t="n">
        <v>429.209366703841</v>
      </c>
      <c r="AJ5" s="11" t="n">
        <v>442.472504000404</v>
      </c>
      <c r="AK5" s="11" t="n">
        <v>439.340307408585</v>
      </c>
      <c r="AL5" s="11" t="n">
        <v>424.447439900085</v>
      </c>
      <c r="AM5" s="11" t="n">
        <v>414.090535568666</v>
      </c>
      <c r="AN5" s="11" t="n">
        <v>405.833115617997</v>
      </c>
      <c r="AO5" s="11" t="n">
        <v>397.47186037714</v>
      </c>
      <c r="AP5" s="11" t="n">
        <v>391.436698928739</v>
      </c>
      <c r="AQ5" s="11" t="n">
        <v>383.2204427644</v>
      </c>
      <c r="AR5" s="11" t="n">
        <v>378.197780241267</v>
      </c>
      <c r="AS5" s="11" t="n">
        <v>370.883460994266</v>
      </c>
      <c r="AT5" s="11" t="n">
        <v>363.855877886724</v>
      </c>
      <c r="AU5" s="11" t="n">
        <v>357.903003975218</v>
      </c>
      <c r="AV5" s="11" t="n">
        <v>352.185906454951</v>
      </c>
      <c r="AW5" s="11" t="n">
        <v>347.826029535005</v>
      </c>
      <c r="AX5" s="11" t="n">
        <v>346.050761033189</v>
      </c>
      <c r="AY5" s="11" t="n">
        <v>342.402724937</v>
      </c>
      <c r="AZ5" s="11" t="n">
        <v>339.802990397672</v>
      </c>
      <c r="BA5" s="11" t="n">
        <v>337.136528755842</v>
      </c>
      <c r="BB5" s="11" t="n">
        <v>334.782206792098</v>
      </c>
      <c r="BC5" s="11" t="n">
        <v>333.238175330279</v>
      </c>
      <c r="BD5" s="11" t="n">
        <v>333.13809218813</v>
      </c>
      <c r="BE5" s="11" t="n">
        <v>333.412809126739</v>
      </c>
      <c r="BF5" s="11" t="n">
        <v>333.364632674849</v>
      </c>
      <c r="BG5" s="11" t="n">
        <v>333.579712962372</v>
      </c>
      <c r="BH5" s="11" t="n">
        <v>332.859612083374</v>
      </c>
      <c r="BI5" s="11" t="n">
        <v>332.974838172487</v>
      </c>
      <c r="BJ5" s="11" t="n">
        <v>332.965005408951</v>
      </c>
      <c r="BK5" s="11" t="n">
        <v>334.114198766711</v>
      </c>
      <c r="BL5" s="11" t="n">
        <v>331.043275892345</v>
      </c>
      <c r="BM5" s="11" t="n">
        <v>328.209948860721</v>
      </c>
      <c r="BN5" s="11" t="n">
        <v>2033.27965039263</v>
      </c>
      <c r="BO5" s="11" t="n">
        <v>1854.06056586187</v>
      </c>
      <c r="BP5" s="11" t="n">
        <v>1728.26841235782</v>
      </c>
      <c r="BQ5" s="11" t="n">
        <v>1671.70781219309</v>
      </c>
    </row>
    <row r="6" customFormat="false" ht="35" hidden="false" customHeight="true" outlineLevel="0" collapsed="false">
      <c r="A6" s="11" t="s">
        <v>137</v>
      </c>
      <c r="B6" s="11" t="s">
        <v>141</v>
      </c>
      <c r="C6" s="11" t="s">
        <v>139</v>
      </c>
      <c r="D6" s="12" t="str">
        <f aca="false">HYPERLINK("#Notes!A10","[note 7]")</f>
        <v>[note 7]</v>
      </c>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t="n">
        <v>384.972556090126</v>
      </c>
      <c r="AM6" s="11" t="n">
        <v>371.759487375243</v>
      </c>
      <c r="AN6" s="11" t="n">
        <v>363.16220328069</v>
      </c>
      <c r="AO6" s="11" t="n">
        <v>355.320294249585</v>
      </c>
      <c r="AP6" s="11" t="n">
        <v>349.464314107462</v>
      </c>
      <c r="AQ6" s="11" t="n">
        <v>342.196922748121</v>
      </c>
      <c r="AR6" s="11" t="n">
        <v>336.926488506423</v>
      </c>
      <c r="AS6" s="11" t="n">
        <v>330.628410013566</v>
      </c>
      <c r="AT6" s="11" t="n">
        <v>323.681440757981</v>
      </c>
      <c r="AU6" s="11" t="n">
        <v>318.088124593316</v>
      </c>
      <c r="AV6" s="11" t="n">
        <v>352.185906454951</v>
      </c>
      <c r="AW6" s="11" t="n">
        <v>347.826029535005</v>
      </c>
      <c r="AX6" s="11" t="n">
        <v>346.050761033189</v>
      </c>
      <c r="AY6" s="11" t="n">
        <v>342.402724937</v>
      </c>
      <c r="AZ6" s="11" t="n">
        <v>339.802990397672</v>
      </c>
      <c r="BA6" s="11"/>
      <c r="BB6" s="11"/>
      <c r="BC6" s="11"/>
      <c r="BD6" s="11"/>
      <c r="BE6" s="11"/>
      <c r="BF6" s="11"/>
      <c r="BG6" s="11"/>
      <c r="BH6" s="11"/>
      <c r="BI6" s="11"/>
      <c r="BJ6" s="11"/>
      <c r="BK6" s="11"/>
      <c r="BL6" s="11"/>
      <c r="BM6" s="11"/>
      <c r="BN6" s="11" t="n">
        <v>1824.67885510311</v>
      </c>
      <c r="BO6" s="11" t="n">
        <v>1651.52138661941</v>
      </c>
      <c r="BP6" s="11" t="n">
        <v>1728.26841235782</v>
      </c>
      <c r="BQ6" s="11"/>
    </row>
    <row r="7" customFormat="false" ht="13.8" hidden="false" customHeight="false" outlineLevel="0" collapsed="false">
      <c r="A7" s="11" t="s">
        <v>137</v>
      </c>
      <c r="B7" s="11" t="s">
        <v>142</v>
      </c>
      <c r="C7" s="11" t="s">
        <v>139</v>
      </c>
      <c r="D7" s="12" t="str">
        <f aca="false">HYPERLINK("#Notes!A14","[note 11]")</f>
        <v>[note 11]</v>
      </c>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t="n">
        <v>384.972556090126</v>
      </c>
      <c r="AM7" s="11" t="n">
        <v>371.759487375243</v>
      </c>
      <c r="AN7" s="11" t="n">
        <v>363.16220328069</v>
      </c>
      <c r="AO7" s="11" t="n">
        <v>355.320294249585</v>
      </c>
      <c r="AP7" s="11" t="n">
        <v>349.464314107462</v>
      </c>
      <c r="AQ7" s="11" t="n">
        <v>342.196922748121</v>
      </c>
      <c r="AR7" s="11" t="n">
        <v>336.926488506423</v>
      </c>
      <c r="AS7" s="11" t="n">
        <v>330.628410013566</v>
      </c>
      <c r="AT7" s="11" t="n">
        <v>323.681440757981</v>
      </c>
      <c r="AU7" s="11" t="n">
        <v>318.088124593316</v>
      </c>
      <c r="AV7" s="11"/>
      <c r="AW7" s="11"/>
      <c r="AX7" s="11"/>
      <c r="AY7" s="11"/>
      <c r="AZ7" s="11"/>
      <c r="BA7" s="11"/>
      <c r="BB7" s="11"/>
      <c r="BC7" s="11"/>
      <c r="BD7" s="11"/>
      <c r="BE7" s="11"/>
      <c r="BF7" s="11"/>
      <c r="BG7" s="11"/>
      <c r="BH7" s="11"/>
      <c r="BI7" s="11"/>
      <c r="BJ7" s="11"/>
      <c r="BK7" s="11"/>
      <c r="BL7" s="11"/>
      <c r="BM7" s="11"/>
      <c r="BN7" s="11" t="n">
        <v>1824.67885510311</v>
      </c>
      <c r="BO7" s="11" t="n">
        <v>1651.52138661941</v>
      </c>
      <c r="BP7" s="11"/>
      <c r="BQ7" s="11"/>
    </row>
    <row r="8" customFormat="false" ht="13.8" hidden="false" customHeight="false" outlineLevel="0" collapsed="false">
      <c r="A8" s="11" t="s">
        <v>137</v>
      </c>
      <c r="B8" s="11" t="s">
        <v>143</v>
      </c>
      <c r="C8" s="11" t="s">
        <v>139</v>
      </c>
      <c r="D8" s="12" t="str">
        <f aca="false">HYPERLINK("#Notes!A15","[note 12]")</f>
        <v>[note 12]</v>
      </c>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t="n">
        <v>352.185906454951</v>
      </c>
      <c r="AW8" s="11" t="n">
        <v>347.826029535005</v>
      </c>
      <c r="AX8" s="11" t="n">
        <v>346.050761033189</v>
      </c>
      <c r="AY8" s="11" t="n">
        <v>342.402724937</v>
      </c>
      <c r="AZ8" s="11" t="n">
        <v>339.802990397672</v>
      </c>
      <c r="BA8" s="11"/>
      <c r="BB8" s="11"/>
      <c r="BC8" s="11"/>
      <c r="BD8" s="11"/>
      <c r="BE8" s="11"/>
      <c r="BF8" s="11"/>
      <c r="BG8" s="11"/>
      <c r="BH8" s="11"/>
      <c r="BI8" s="11"/>
      <c r="BJ8" s="11"/>
      <c r="BK8" s="11"/>
      <c r="BL8" s="11"/>
      <c r="BM8" s="11"/>
      <c r="BN8" s="11"/>
      <c r="BO8" s="11"/>
      <c r="BP8" s="11" t="n">
        <v>1728.26841235782</v>
      </c>
      <c r="BQ8" s="11"/>
    </row>
    <row r="9" customFormat="false" ht="35" hidden="false" customHeight="true" outlineLevel="0" collapsed="false">
      <c r="A9" s="11" t="s">
        <v>137</v>
      </c>
      <c r="B9" s="11" t="s">
        <v>144</v>
      </c>
      <c r="C9" s="11" t="s">
        <v>139</v>
      </c>
      <c r="D9" s="12"/>
      <c r="E9" s="11" t="n">
        <v>54.3985824961385</v>
      </c>
      <c r="F9" s="11" t="n">
        <v>54.2109974015761</v>
      </c>
      <c r="G9" s="11" t="n">
        <v>53.8501459181404</v>
      </c>
      <c r="H9" s="11" t="n">
        <v>52.9615883995599</v>
      </c>
      <c r="I9" s="11" t="n">
        <v>53.733133078343</v>
      </c>
      <c r="J9" s="11" t="n">
        <v>53.6728877296629</v>
      </c>
      <c r="K9" s="11" t="n">
        <v>55.0409098307287</v>
      </c>
      <c r="L9" s="11" t="n">
        <v>54.6237497116691</v>
      </c>
      <c r="M9" s="11" t="n">
        <v>54.2939813468889</v>
      </c>
      <c r="N9" s="11" t="n">
        <v>54.540916712647</v>
      </c>
      <c r="O9" s="11" t="n">
        <v>52.5801767156202</v>
      </c>
      <c r="P9" s="11" t="n">
        <v>50.3804222760028</v>
      </c>
      <c r="Q9" s="11" t="n">
        <v>50.0717765484391</v>
      </c>
      <c r="R9" s="11" t="n">
        <v>50.5149288135195</v>
      </c>
      <c r="S9" s="11" t="n">
        <v>51.297357671118</v>
      </c>
      <c r="T9" s="11" t="n">
        <v>51.4385984999855</v>
      </c>
      <c r="U9" s="11" t="n">
        <v>50.3863717343563</v>
      </c>
      <c r="V9" s="11" t="n">
        <v>49.9875870606817</v>
      </c>
      <c r="W9" s="11" t="n">
        <v>49.6981093209486</v>
      </c>
      <c r="X9" s="11" t="n">
        <v>49.2150761195018</v>
      </c>
      <c r="Y9" s="11" t="n">
        <v>49.6272287339461</v>
      </c>
      <c r="Z9" s="11" t="n">
        <v>48.8195310118093</v>
      </c>
      <c r="AA9" s="11" t="n">
        <v>49.2577794183426</v>
      </c>
      <c r="AB9" s="11" t="n">
        <v>49.0850161759067</v>
      </c>
      <c r="AC9" s="11" t="n">
        <v>49.4343920328083</v>
      </c>
      <c r="AD9" s="11" t="n">
        <v>50.6170357854804</v>
      </c>
      <c r="AE9" s="11" t="n">
        <v>50.0256613841094</v>
      </c>
      <c r="AF9" s="11" t="n">
        <v>49.9449226392524</v>
      </c>
      <c r="AG9" s="11" t="n">
        <v>48.0992006922732</v>
      </c>
      <c r="AH9" s="11" t="n">
        <v>48.643733304938</v>
      </c>
      <c r="AI9" s="11" t="n">
        <v>47.4216999744916</v>
      </c>
      <c r="AJ9" s="11" t="n">
        <v>48.1166146754413</v>
      </c>
      <c r="AK9" s="11" t="n">
        <v>46.8561837228894</v>
      </c>
      <c r="AL9" s="11" t="n">
        <v>46.6137424553026</v>
      </c>
      <c r="AM9" s="11" t="n">
        <v>45.5769870262767</v>
      </c>
      <c r="AN9" s="11" t="n">
        <v>45.1565653679124</v>
      </c>
      <c r="AO9" s="11" t="n">
        <v>44.9806085663478</v>
      </c>
      <c r="AP9" s="11" t="n">
        <v>44.8937218741866</v>
      </c>
      <c r="AQ9" s="11" t="n">
        <v>44.8328513786151</v>
      </c>
      <c r="AR9" s="11" t="n">
        <v>44.7571506999058</v>
      </c>
      <c r="AS9" s="11" t="n">
        <v>44.64594711842</v>
      </c>
      <c r="AT9" s="11" t="n">
        <v>44.4750103600964</v>
      </c>
      <c r="AU9" s="11" t="n">
        <v>44.2652859015653</v>
      </c>
      <c r="AV9" s="11" t="n">
        <v>44.0331755175468</v>
      </c>
      <c r="AW9" s="11" t="n">
        <v>43.7843318545762</v>
      </c>
      <c r="AX9" s="11" t="n">
        <v>43.5316394993459</v>
      </c>
      <c r="AY9" s="11" t="n">
        <v>43.2370279446527</v>
      </c>
      <c r="AZ9" s="11" t="n">
        <v>42.9266820012853</v>
      </c>
      <c r="BA9" s="11" t="n">
        <v>42.5986693918168</v>
      </c>
      <c r="BB9" s="11" t="n">
        <v>42.2599898243832</v>
      </c>
      <c r="BC9" s="11" t="n">
        <v>41.9239164320717</v>
      </c>
      <c r="BD9" s="11" t="n">
        <v>41.6103197893948</v>
      </c>
      <c r="BE9" s="11" t="n">
        <v>41.2677048344126</v>
      </c>
      <c r="BF9" s="11" t="n">
        <v>40.8895954412029</v>
      </c>
      <c r="BG9" s="11" t="n">
        <v>40.5191219657842</v>
      </c>
      <c r="BH9" s="11" t="n">
        <v>40.1360102270673</v>
      </c>
      <c r="BI9" s="11" t="n">
        <v>39.751250038094</v>
      </c>
      <c r="BJ9" s="11" t="n">
        <v>39.3691479315307</v>
      </c>
      <c r="BK9" s="11" t="n">
        <v>38.9804387499693</v>
      </c>
      <c r="BL9" s="11" t="n">
        <v>38.5909246881019</v>
      </c>
      <c r="BM9" s="11" t="n">
        <v>38.2005567333275</v>
      </c>
      <c r="BN9" s="11" t="n">
        <v>227.221625290026</v>
      </c>
      <c r="BO9" s="11" t="n">
        <v>222.976245458603</v>
      </c>
      <c r="BP9" s="11" t="n">
        <v>217.512856817407</v>
      </c>
      <c r="BQ9" s="11" t="n">
        <v>209.660600272079</v>
      </c>
    </row>
    <row r="10" customFormat="false" ht="13.8" hidden="false" customHeight="false" outlineLevel="0" collapsed="false">
      <c r="A10" s="11" t="s">
        <v>137</v>
      </c>
      <c r="B10" s="11" t="s">
        <v>145</v>
      </c>
      <c r="C10" s="11" t="s">
        <v>139</v>
      </c>
      <c r="D10" s="12"/>
      <c r="E10" s="11" t="n">
        <v>109.753400419937</v>
      </c>
      <c r="F10" s="11" t="n">
        <v>121.501395241244</v>
      </c>
      <c r="G10" s="11" t="n">
        <v>118.077721654342</v>
      </c>
      <c r="H10" s="11" t="n">
        <v>121.889243404326</v>
      </c>
      <c r="I10" s="11" t="n">
        <v>116.956532090134</v>
      </c>
      <c r="J10" s="11" t="n">
        <v>112.83028105824</v>
      </c>
      <c r="K10" s="11" t="n">
        <v>126.22534224756</v>
      </c>
      <c r="L10" s="11" t="n">
        <v>117.13956761586</v>
      </c>
      <c r="M10" s="11" t="n">
        <v>118.80937479299</v>
      </c>
      <c r="N10" s="11" t="n">
        <v>120.529083503683</v>
      </c>
      <c r="O10" s="11" t="n">
        <v>120.560391921108</v>
      </c>
      <c r="P10" s="11" t="n">
        <v>124.195204858628</v>
      </c>
      <c r="Q10" s="11" t="n">
        <v>116.673461226452</v>
      </c>
      <c r="R10" s="11" t="n">
        <v>118.253579871142</v>
      </c>
      <c r="S10" s="11" t="n">
        <v>121.096860221372</v>
      </c>
      <c r="T10" s="11" t="n">
        <v>117.448596039984</v>
      </c>
      <c r="U10" s="11" t="n">
        <v>113.070397595582</v>
      </c>
      <c r="V10" s="11" t="n">
        <v>108.379321310014</v>
      </c>
      <c r="W10" s="11" t="n">
        <v>113.319903114273</v>
      </c>
      <c r="X10" s="11" t="n">
        <v>106.911436682378</v>
      </c>
      <c r="Y10" s="11" t="n">
        <v>117.862868973587</v>
      </c>
      <c r="Z10" s="11" t="n">
        <v>97.8183827419463</v>
      </c>
      <c r="AA10" s="11" t="n">
        <v>107.560728696641</v>
      </c>
      <c r="AB10" s="11" t="n">
        <v>108.813382847286</v>
      </c>
      <c r="AC10" s="11" t="n">
        <v>93.3869508430082</v>
      </c>
      <c r="AD10" s="11" t="n">
        <v>95.5636998686244</v>
      </c>
      <c r="AE10" s="11" t="n">
        <v>96.252723008019</v>
      </c>
      <c r="AF10" s="11" t="n">
        <v>93.7740071174689</v>
      </c>
      <c r="AG10" s="11" t="n">
        <v>97.9310912198727</v>
      </c>
      <c r="AH10" s="11" t="n">
        <v>94.1027159067678</v>
      </c>
      <c r="AI10" s="11" t="n">
        <v>93.704351120176</v>
      </c>
      <c r="AJ10" s="11" t="n">
        <v>98.2009567177289</v>
      </c>
      <c r="AK10" s="11" t="n">
        <v>83.4998821959421</v>
      </c>
      <c r="AL10" s="11" t="n">
        <v>78.4758175684127</v>
      </c>
      <c r="AM10" s="11" t="n">
        <v>81.0366508749843</v>
      </c>
      <c r="AN10" s="11" t="n">
        <v>83.8432888470819</v>
      </c>
      <c r="AO10" s="11" t="n">
        <v>83.4150637802136</v>
      </c>
      <c r="AP10" s="11" t="n">
        <v>83.0472211058401</v>
      </c>
      <c r="AQ10" s="11" t="n">
        <v>82.577795747446</v>
      </c>
      <c r="AR10" s="11" t="n">
        <v>82.4781321773729</v>
      </c>
      <c r="AS10" s="11" t="n">
        <v>82.162389146047</v>
      </c>
      <c r="AT10" s="11" t="n">
        <v>82.0065888016154</v>
      </c>
      <c r="AU10" s="11" t="n">
        <v>81.853268353746</v>
      </c>
      <c r="AV10" s="11" t="n">
        <v>81.7710219097893</v>
      </c>
      <c r="AW10" s="11" t="n">
        <v>81.7181987527854</v>
      </c>
      <c r="AX10" s="11" t="n">
        <v>81.7199484890389</v>
      </c>
      <c r="AY10" s="11" t="n">
        <v>82.1150122807947</v>
      </c>
      <c r="AZ10" s="11" t="n">
        <v>82.1996799746894</v>
      </c>
      <c r="BA10" s="11" t="n">
        <v>82.4048569474959</v>
      </c>
      <c r="BB10" s="11" t="n">
        <v>82.6267635633737</v>
      </c>
      <c r="BC10" s="11" t="n">
        <v>82.8983748722586</v>
      </c>
      <c r="BD10" s="11" t="n">
        <v>83.2665263055415</v>
      </c>
      <c r="BE10" s="11" t="n">
        <v>83.4889008672889</v>
      </c>
      <c r="BF10" s="11" t="n">
        <v>83.6527359670318</v>
      </c>
      <c r="BG10" s="11" t="n">
        <v>84.0192027205711</v>
      </c>
      <c r="BH10" s="11" t="n">
        <v>84.0518998763076</v>
      </c>
      <c r="BI10" s="11" t="n">
        <v>84.1857984298579</v>
      </c>
      <c r="BJ10" s="11" t="n">
        <v>84.4611720766645</v>
      </c>
      <c r="BK10" s="11" t="n">
        <v>84.54955656028</v>
      </c>
      <c r="BL10" s="11" t="n">
        <v>84.5532598396233</v>
      </c>
      <c r="BM10" s="11" t="n">
        <v>84.5504090558704</v>
      </c>
      <c r="BN10" s="11" t="n">
        <v>409.818042176533</v>
      </c>
      <c r="BO10" s="11" t="n">
        <v>411.078174226227</v>
      </c>
      <c r="BP10" s="11" t="n">
        <v>409.523861407098</v>
      </c>
      <c r="BQ10" s="11" t="n">
        <v>414.685422555959</v>
      </c>
    </row>
    <row r="11" customFormat="false" ht="13.8" hidden="false" customHeight="false" outlineLevel="0" collapsed="false">
      <c r="A11" s="11" t="s">
        <v>137</v>
      </c>
      <c r="B11" s="11" t="s">
        <v>146</v>
      </c>
      <c r="C11" s="11" t="s">
        <v>139</v>
      </c>
      <c r="D11" s="12"/>
      <c r="E11" s="11" t="n">
        <v>129.255008921329</v>
      </c>
      <c r="F11" s="11" t="n">
        <v>127.341350929008</v>
      </c>
      <c r="G11" s="11" t="n">
        <v>128.604022957652</v>
      </c>
      <c r="H11" s="11" t="n">
        <v>129.968448646168</v>
      </c>
      <c r="I11" s="11" t="n">
        <v>131.288194768341</v>
      </c>
      <c r="J11" s="11" t="n">
        <v>130.762579934411</v>
      </c>
      <c r="K11" s="11" t="n">
        <v>135.10728299357</v>
      </c>
      <c r="L11" s="11" t="n">
        <v>135.558868473256</v>
      </c>
      <c r="M11" s="11" t="n">
        <v>134.555568262126</v>
      </c>
      <c r="N11" s="11" t="n">
        <v>136.164710246383</v>
      </c>
      <c r="O11" s="11" t="n">
        <v>134.207452325531</v>
      </c>
      <c r="P11" s="11" t="n">
        <v>134.190383834563</v>
      </c>
      <c r="Q11" s="11" t="n">
        <v>137.212811912707</v>
      </c>
      <c r="R11" s="11" t="n">
        <v>136.399461285428</v>
      </c>
      <c r="S11" s="11" t="n">
        <v>137.602934399039</v>
      </c>
      <c r="T11" s="11" t="n">
        <v>138.07249042306</v>
      </c>
      <c r="U11" s="11" t="n">
        <v>138.194411494809</v>
      </c>
      <c r="V11" s="11" t="n">
        <v>139.316585122946</v>
      </c>
      <c r="W11" s="11" t="n">
        <v>134.173854931478</v>
      </c>
      <c r="X11" s="11" t="n">
        <v>129.594529027686</v>
      </c>
      <c r="Y11" s="11" t="n">
        <v>127.995398550788</v>
      </c>
      <c r="Z11" s="11" t="n">
        <v>125.418733071082</v>
      </c>
      <c r="AA11" s="11" t="n">
        <v>124.738392220869</v>
      </c>
      <c r="AB11" s="11" t="n">
        <v>122.983911101121</v>
      </c>
      <c r="AC11" s="11" t="n">
        <v>124.839308088699</v>
      </c>
      <c r="AD11" s="11" t="n">
        <v>125.327875756466</v>
      </c>
      <c r="AE11" s="11" t="n">
        <v>128.809311586727</v>
      </c>
      <c r="AF11" s="11" t="n">
        <v>129.490134384352</v>
      </c>
      <c r="AG11" s="11" t="n">
        <v>128.116043548755</v>
      </c>
      <c r="AH11" s="11" t="n">
        <v>124.718631912824</v>
      </c>
      <c r="AI11" s="11" t="n">
        <v>103.492830901842</v>
      </c>
      <c r="AJ11" s="11" t="n">
        <v>111.933277388314</v>
      </c>
      <c r="AK11" s="11" t="n">
        <v>113.088764483098</v>
      </c>
      <c r="AL11" s="11" t="n">
        <v>111.814687715586</v>
      </c>
      <c r="AM11" s="11" t="n">
        <v>112.469374875517</v>
      </c>
      <c r="AN11" s="11" t="n">
        <v>116.52591327629</v>
      </c>
      <c r="AO11" s="11" t="n">
        <v>113.683694758826</v>
      </c>
      <c r="AP11" s="11" t="n">
        <v>110.627557602094</v>
      </c>
      <c r="AQ11" s="11" t="n">
        <v>106.213056781504</v>
      </c>
      <c r="AR11" s="11" t="n">
        <v>100.943735946782</v>
      </c>
      <c r="AS11" s="11" t="n">
        <v>94.6669183218498</v>
      </c>
      <c r="AT11" s="11" t="n">
        <v>88.9085231587242</v>
      </c>
      <c r="AU11" s="11" t="n">
        <v>83.5732969507448</v>
      </c>
      <c r="AV11" s="11" t="n">
        <v>78.9524060649595</v>
      </c>
      <c r="AW11" s="11" t="n">
        <v>74.8226650377807</v>
      </c>
      <c r="AX11" s="11" t="n">
        <v>71.2123510932397</v>
      </c>
      <c r="AY11" s="11" t="n">
        <v>67.94495208029</v>
      </c>
      <c r="AZ11" s="11" t="n">
        <v>65.0177407108091</v>
      </c>
      <c r="BA11" s="11" t="n">
        <v>62.4360744224906</v>
      </c>
      <c r="BB11" s="11" t="n">
        <v>60.2434970142712</v>
      </c>
      <c r="BC11" s="11" t="n">
        <v>58.2505910211241</v>
      </c>
      <c r="BD11" s="11" t="n">
        <v>56.5889310734528</v>
      </c>
      <c r="BE11" s="11" t="n">
        <v>55.1255003302733</v>
      </c>
      <c r="BF11" s="11" t="n">
        <v>53.974266091132</v>
      </c>
      <c r="BG11" s="11" t="n">
        <v>52.9654980858894</v>
      </c>
      <c r="BH11" s="11" t="n">
        <v>52.109881712604</v>
      </c>
      <c r="BI11" s="11" t="n">
        <v>51.4497512691164</v>
      </c>
      <c r="BJ11" s="11" t="n">
        <v>50.8786684227066</v>
      </c>
      <c r="BK11" s="11" t="n">
        <v>50.543101462605</v>
      </c>
      <c r="BL11" s="11" t="n">
        <v>50.2081057936327</v>
      </c>
      <c r="BM11" s="11" t="n">
        <v>49.9426273787549</v>
      </c>
      <c r="BN11" s="11" t="n">
        <v>565.121228228313</v>
      </c>
      <c r="BO11" s="11" t="n">
        <v>474.305531159605</v>
      </c>
      <c r="BP11" s="11" t="n">
        <v>357.950114987079</v>
      </c>
      <c r="BQ11" s="11" t="n">
        <v>292.644593861612</v>
      </c>
    </row>
    <row r="12" customFormat="false" ht="13.8" hidden="false" customHeight="false" outlineLevel="0" collapsed="false">
      <c r="A12" s="11" t="s">
        <v>137</v>
      </c>
      <c r="B12" s="11" t="s">
        <v>147</v>
      </c>
      <c r="C12" s="11" t="s">
        <v>139</v>
      </c>
      <c r="D12" s="12"/>
      <c r="E12" s="11" t="n">
        <v>203.990898453228</v>
      </c>
      <c r="F12" s="11" t="n">
        <v>200.562835432034</v>
      </c>
      <c r="G12" s="11" t="n">
        <v>188.466186204535</v>
      </c>
      <c r="H12" s="11" t="n">
        <v>170.963203369198</v>
      </c>
      <c r="I12" s="11" t="n">
        <v>166.731982037533</v>
      </c>
      <c r="J12" s="11" t="n">
        <v>163.558022733677</v>
      </c>
      <c r="K12" s="11" t="n">
        <v>163.228079644629</v>
      </c>
      <c r="L12" s="11" t="n">
        <v>150.651869663357</v>
      </c>
      <c r="M12" s="11" t="n">
        <v>155.599993474688</v>
      </c>
      <c r="N12" s="11" t="n">
        <v>147.554048329445</v>
      </c>
      <c r="O12" s="11" t="n">
        <v>159.002950084772</v>
      </c>
      <c r="P12" s="11" t="n">
        <v>169.852372811144</v>
      </c>
      <c r="Q12" s="11" t="n">
        <v>165.481526928505</v>
      </c>
      <c r="R12" s="11" t="n">
        <v>174.488326762299</v>
      </c>
      <c r="S12" s="11" t="n">
        <v>174.146106305149</v>
      </c>
      <c r="T12" s="11" t="n">
        <v>173.414280568351</v>
      </c>
      <c r="U12" s="11" t="n">
        <v>182.337388612104</v>
      </c>
      <c r="V12" s="11" t="n">
        <v>178.045796539605</v>
      </c>
      <c r="W12" s="11" t="n">
        <v>172.942727963949</v>
      </c>
      <c r="X12" s="11" t="n">
        <v>151.155947829117</v>
      </c>
      <c r="Y12" s="11" t="n">
        <v>157.445333251227</v>
      </c>
      <c r="Z12" s="11" t="n">
        <v>144.684782409633</v>
      </c>
      <c r="AA12" s="11" t="n">
        <v>158.684183531496</v>
      </c>
      <c r="AB12" s="11" t="n">
        <v>147.67197837057</v>
      </c>
      <c r="AC12" s="11" t="n">
        <v>124.452796170375</v>
      </c>
      <c r="AD12" s="11" t="n">
        <v>104.29241497766</v>
      </c>
      <c r="AE12" s="11" t="n">
        <v>82.2603660829251</v>
      </c>
      <c r="AF12" s="11" t="n">
        <v>72.2297332412677</v>
      </c>
      <c r="AG12" s="11" t="n">
        <v>65.8521459059208</v>
      </c>
      <c r="AH12" s="11" t="n">
        <v>57.8513758830216</v>
      </c>
      <c r="AI12" s="11" t="n">
        <v>49.5299798778971</v>
      </c>
      <c r="AJ12" s="11" t="n">
        <v>54.7621414064754</v>
      </c>
      <c r="AK12" s="11" t="n">
        <v>55.0427992563346</v>
      </c>
      <c r="AL12" s="11" t="n">
        <v>43.9334967691422</v>
      </c>
      <c r="AM12" s="11" t="n">
        <v>38.722355501135</v>
      </c>
      <c r="AN12" s="11" t="n">
        <v>26.8809106486254</v>
      </c>
      <c r="AO12" s="11" t="n">
        <v>24.5867442477916</v>
      </c>
      <c r="AP12" s="11" t="n">
        <v>22.1369287404853</v>
      </c>
      <c r="AQ12" s="11" t="n">
        <v>21.3550526444336</v>
      </c>
      <c r="AR12" s="11" t="n">
        <v>22.827741179877</v>
      </c>
      <c r="AS12" s="11" t="n">
        <v>24.8510299043816</v>
      </c>
      <c r="AT12" s="11" t="n">
        <v>25.4326385891919</v>
      </c>
      <c r="AU12" s="11" t="n">
        <v>26.2905377722069</v>
      </c>
      <c r="AV12" s="11" t="n">
        <v>27.0893730311403</v>
      </c>
      <c r="AW12" s="11" t="n">
        <v>28.1665837700545</v>
      </c>
      <c r="AX12" s="11" t="n">
        <v>30.7778355475573</v>
      </c>
      <c r="AY12" s="11" t="n">
        <v>32.6865562901222</v>
      </c>
      <c r="AZ12" s="11" t="n">
        <v>34.1413907576529</v>
      </c>
      <c r="BA12" s="11" t="n">
        <v>34.695491818895</v>
      </c>
      <c r="BB12" s="11" t="n">
        <v>35.0981584234347</v>
      </c>
      <c r="BC12" s="11" t="n">
        <v>35.6104446778783</v>
      </c>
      <c r="BD12" s="11" t="n">
        <v>36.944987650805</v>
      </c>
      <c r="BE12" s="11" t="n">
        <v>38.646151433954</v>
      </c>
      <c r="BF12" s="11" t="n">
        <v>39.8900311049218</v>
      </c>
      <c r="BG12" s="11" t="n">
        <v>41.1061655172481</v>
      </c>
      <c r="BH12" s="11" t="n">
        <v>41.7312271967715</v>
      </c>
      <c r="BI12" s="11" t="n">
        <v>42.7657816750586</v>
      </c>
      <c r="BJ12" s="11" t="n">
        <v>43.8166138077439</v>
      </c>
      <c r="BK12" s="11" t="n">
        <v>45.2801261288876</v>
      </c>
      <c r="BL12" s="11" t="n">
        <v>43.9489079718461</v>
      </c>
      <c r="BM12" s="11" t="n">
        <v>42.151711911479</v>
      </c>
      <c r="BN12" s="11" t="n">
        <v>156.260435907179</v>
      </c>
      <c r="BO12" s="11" t="n">
        <v>120.757000090091</v>
      </c>
      <c r="BP12" s="11" t="n">
        <v>152.861739396527</v>
      </c>
      <c r="BQ12" s="11" t="n">
        <v>180.995234004967</v>
      </c>
    </row>
    <row r="13" customFormat="false" ht="13.8" hidden="false" customHeight="false" outlineLevel="0" collapsed="false">
      <c r="A13" s="11" t="s">
        <v>137</v>
      </c>
      <c r="B13" s="11" t="s">
        <v>148</v>
      </c>
      <c r="C13" s="11" t="s">
        <v>139</v>
      </c>
      <c r="D13" s="12"/>
      <c r="E13" s="11" t="n">
        <v>77.1921705075374</v>
      </c>
      <c r="F13" s="11" t="n">
        <v>78.080806528045</v>
      </c>
      <c r="G13" s="11" t="n">
        <v>79.2407860956421</v>
      </c>
      <c r="H13" s="11" t="n">
        <v>78.9274931034912</v>
      </c>
      <c r="I13" s="11" t="n">
        <v>71.4488522684982</v>
      </c>
      <c r="J13" s="11" t="n">
        <v>74.8462179844523</v>
      </c>
      <c r="K13" s="11" t="n">
        <v>74.6165741832362</v>
      </c>
      <c r="L13" s="11" t="n">
        <v>72.7018598920015</v>
      </c>
      <c r="M13" s="11" t="n">
        <v>71.0438362400116</v>
      </c>
      <c r="N13" s="11" t="n">
        <v>65.3234999188802</v>
      </c>
      <c r="O13" s="11" t="n">
        <v>63.2687728886619</v>
      </c>
      <c r="P13" s="11" t="n">
        <v>62.8181938676178</v>
      </c>
      <c r="Q13" s="11" t="n">
        <v>63.2501068689334</v>
      </c>
      <c r="R13" s="11" t="n">
        <v>59.7772256279829</v>
      </c>
      <c r="S13" s="11" t="n">
        <v>58.2079142608196</v>
      </c>
      <c r="T13" s="11" t="n">
        <v>57.567759616805</v>
      </c>
      <c r="U13" s="11" t="n">
        <v>52.678877585612</v>
      </c>
      <c r="V13" s="11" t="n">
        <v>51.295301221398</v>
      </c>
      <c r="W13" s="11" t="n">
        <v>49.6781133916652</v>
      </c>
      <c r="X13" s="11" t="n">
        <v>48.3029591852123</v>
      </c>
      <c r="Y13" s="11" t="n">
        <v>48.8104058593396</v>
      </c>
      <c r="Z13" s="11" t="n">
        <v>46.8191936196082</v>
      </c>
      <c r="AA13" s="11" t="n">
        <v>43.1372072471329</v>
      </c>
      <c r="AB13" s="11" t="n">
        <v>40.9578788876444</v>
      </c>
      <c r="AC13" s="11" t="n">
        <v>39.2561056479883</v>
      </c>
      <c r="AD13" s="11" t="n">
        <v>39.7391404221671</v>
      </c>
      <c r="AE13" s="11" t="n">
        <v>38.5572237627559</v>
      </c>
      <c r="AF13" s="11" t="n">
        <v>38.0441840088231</v>
      </c>
      <c r="AG13" s="11" t="n">
        <v>37.2623775880541</v>
      </c>
      <c r="AH13" s="11" t="n">
        <v>37.2744125292096</v>
      </c>
      <c r="AI13" s="11" t="n">
        <v>33.890099569038</v>
      </c>
      <c r="AJ13" s="11" t="n">
        <v>31.2127086117806</v>
      </c>
      <c r="AK13" s="11" t="n">
        <v>31.3203218257937</v>
      </c>
      <c r="AL13" s="11" t="n">
        <v>30.0973856701954</v>
      </c>
      <c r="AM13" s="11" t="n">
        <v>30.8778260504873</v>
      </c>
      <c r="AN13" s="11" t="n">
        <v>30.2658254966768</v>
      </c>
      <c r="AO13" s="11" t="n">
        <v>29.1932619254292</v>
      </c>
      <c r="AP13" s="11" t="n">
        <v>28.4544880630755</v>
      </c>
      <c r="AQ13" s="11" t="n">
        <v>27.4882366144394</v>
      </c>
      <c r="AR13" s="11" t="n">
        <v>26.5546822388927</v>
      </c>
      <c r="AS13" s="11" t="n">
        <v>25.1866943035523</v>
      </c>
      <c r="AT13" s="11" t="n">
        <v>23.7938531215726</v>
      </c>
      <c r="AU13" s="11" t="n">
        <v>22.9423052090703</v>
      </c>
      <c r="AV13" s="11" t="n">
        <v>21.8488699349055</v>
      </c>
      <c r="AW13" s="11" t="n">
        <v>21.4113578052632</v>
      </c>
      <c r="AX13" s="11" t="n">
        <v>20.9789889271916</v>
      </c>
      <c r="AY13" s="11" t="n">
        <v>18.9793695324611</v>
      </c>
      <c r="AZ13" s="11" t="n">
        <v>18.4682598147802</v>
      </c>
      <c r="BA13" s="11" t="n">
        <v>17.9353258839797</v>
      </c>
      <c r="BB13" s="11" t="n">
        <v>17.1421563232496</v>
      </c>
      <c r="BC13" s="11" t="n">
        <v>16.7930517982612</v>
      </c>
      <c r="BD13" s="11" t="n">
        <v>15.5151728189943</v>
      </c>
      <c r="BE13" s="11" t="n">
        <v>14.7070124574836</v>
      </c>
      <c r="BF13" s="11" t="n">
        <v>14.3912837403761</v>
      </c>
      <c r="BG13" s="11" t="n">
        <v>14.3210781307013</v>
      </c>
      <c r="BH13" s="11" t="n">
        <v>14.2407020751258</v>
      </c>
      <c r="BI13" s="11" t="n">
        <v>14.1900999700661</v>
      </c>
      <c r="BJ13" s="11" t="n">
        <v>14.1155857989605</v>
      </c>
      <c r="BK13" s="11" t="n">
        <v>13.830629931137</v>
      </c>
      <c r="BL13" s="11" t="n">
        <v>13.4237531874206</v>
      </c>
      <c r="BM13" s="11" t="n">
        <v>13.2438302303758</v>
      </c>
      <c r="BN13" s="11" t="n">
        <v>148.888787205864</v>
      </c>
      <c r="BO13" s="11" t="n">
        <v>125.965771487527</v>
      </c>
      <c r="BP13" s="11" t="n">
        <v>101.686846014602</v>
      </c>
      <c r="BQ13" s="11" t="n">
        <v>82.0927192819684</v>
      </c>
    </row>
    <row r="14" customFormat="false" ht="13.8" hidden="false" customHeight="false" outlineLevel="0" collapsed="false">
      <c r="A14" s="11" t="s">
        <v>137</v>
      </c>
      <c r="B14" s="11" t="s">
        <v>149</v>
      </c>
      <c r="C14" s="11" t="s">
        <v>139</v>
      </c>
      <c r="D14" s="12"/>
      <c r="E14" s="11" t="n">
        <v>23.6473354671225</v>
      </c>
      <c r="F14" s="11" t="n">
        <v>23.2238117778929</v>
      </c>
      <c r="G14" s="11" t="n">
        <v>25.0674766754312</v>
      </c>
      <c r="H14" s="11" t="n">
        <v>26.0747083264046</v>
      </c>
      <c r="I14" s="11" t="n">
        <v>26.3369066614471</v>
      </c>
      <c r="J14" s="11" t="n">
        <v>28.0182830316568</v>
      </c>
      <c r="K14" s="11" t="n">
        <v>29.8201117831724</v>
      </c>
      <c r="L14" s="11" t="n">
        <v>32.1229921582173</v>
      </c>
      <c r="M14" s="11" t="n">
        <v>35.1033809909252</v>
      </c>
      <c r="N14" s="11" t="n">
        <v>34.8755183868604</v>
      </c>
      <c r="O14" s="11" t="n">
        <v>36.9154695816991</v>
      </c>
      <c r="P14" s="11" t="n">
        <v>36.7949293730316</v>
      </c>
      <c r="Q14" s="11" t="n">
        <v>35.1065129919002</v>
      </c>
      <c r="R14" s="11" t="n">
        <v>35.3290054825154</v>
      </c>
      <c r="S14" s="11" t="n">
        <v>39.2287577125004</v>
      </c>
      <c r="T14" s="11" t="n">
        <v>41.7287887769468</v>
      </c>
      <c r="U14" s="11" t="n">
        <v>43.1749546520889</v>
      </c>
      <c r="V14" s="11" t="n">
        <v>43.0630188852149</v>
      </c>
      <c r="W14" s="11" t="n">
        <v>45.7803651854211</v>
      </c>
      <c r="X14" s="11" t="n">
        <v>44.2643082247738</v>
      </c>
      <c r="Y14" s="11" t="n">
        <v>42.2289877562772</v>
      </c>
      <c r="Z14" s="11" t="n">
        <v>43.0974906356033</v>
      </c>
      <c r="AA14" s="11" t="n">
        <v>41.0569603929463</v>
      </c>
      <c r="AB14" s="11" t="n">
        <v>42.036236940371</v>
      </c>
      <c r="AC14" s="11" t="n">
        <v>41.401543395917</v>
      </c>
      <c r="AD14" s="11" t="n">
        <v>41.4886704927752</v>
      </c>
      <c r="AE14" s="11" t="n">
        <v>42.622749250422</v>
      </c>
      <c r="AF14" s="11" t="n">
        <v>44.9002542634811</v>
      </c>
      <c r="AG14" s="11" t="n">
        <v>44.4742068265647</v>
      </c>
      <c r="AH14" s="11" t="n">
        <v>43.3719580381914</v>
      </c>
      <c r="AI14" s="11" t="n">
        <v>21.234127938688</v>
      </c>
      <c r="AJ14" s="11" t="n">
        <v>19.9969338838027</v>
      </c>
      <c r="AK14" s="11" t="n">
        <v>34.6580394217991</v>
      </c>
      <c r="AL14" s="11" t="n">
        <v>39.4748838099595</v>
      </c>
      <c r="AM14" s="11" t="n">
        <v>42.3310481934235</v>
      </c>
      <c r="AN14" s="11" t="n">
        <v>42.6709123373074</v>
      </c>
      <c r="AO14" s="11" t="n">
        <v>42.1515661275554</v>
      </c>
      <c r="AP14" s="11" t="n">
        <v>41.9723848212771</v>
      </c>
      <c r="AQ14" s="11" t="n">
        <v>41.0235200162787</v>
      </c>
      <c r="AR14" s="11" t="n">
        <v>41.2712917348442</v>
      </c>
      <c r="AS14" s="11" t="n">
        <v>40.2550509807</v>
      </c>
      <c r="AT14" s="11" t="n">
        <v>40.1744371287429</v>
      </c>
      <c r="AU14" s="11" t="n">
        <v>39.8148793819014</v>
      </c>
      <c r="AV14" s="11" t="n">
        <v>39.1131544836259</v>
      </c>
      <c r="AW14" s="11" t="n">
        <v>38.5920769166463</v>
      </c>
      <c r="AX14" s="11" t="n">
        <v>38.3843331382221</v>
      </c>
      <c r="AY14" s="11" t="n">
        <v>37.7781414246568</v>
      </c>
      <c r="AZ14" s="11" t="n">
        <v>37.0109054828062</v>
      </c>
      <c r="BA14" s="11" t="n">
        <v>36.8346312151507</v>
      </c>
      <c r="BB14" s="11" t="n">
        <v>36.859755229299</v>
      </c>
      <c r="BC14" s="11" t="n">
        <v>36.5757137461941</v>
      </c>
      <c r="BD14" s="11" t="n">
        <v>37.0523524737419</v>
      </c>
      <c r="BE14" s="11" t="n">
        <v>37.5819623734359</v>
      </c>
      <c r="BF14" s="11" t="n">
        <v>37.5074395695807</v>
      </c>
      <c r="BG14" s="11" t="n">
        <v>37.2031827960332</v>
      </c>
      <c r="BH14" s="11" t="n">
        <v>36.7393215363397</v>
      </c>
      <c r="BI14" s="11" t="n">
        <v>36.2480405962512</v>
      </c>
      <c r="BJ14" s="11" t="n">
        <v>35.5353123246789</v>
      </c>
      <c r="BK14" s="11" t="n">
        <v>35.731052983795</v>
      </c>
      <c r="BL14" s="11" t="n">
        <v>34.6046567857409</v>
      </c>
      <c r="BM14" s="11" t="n">
        <v>34.0464399792679</v>
      </c>
      <c r="BN14" s="11" t="n">
        <v>208.600795289523</v>
      </c>
      <c r="BO14" s="11" t="n">
        <v>202.539179242467</v>
      </c>
      <c r="BP14" s="11" t="n">
        <v>190.878611445957</v>
      </c>
      <c r="BQ14" s="11" t="n">
        <v>184.904415037821</v>
      </c>
    </row>
    <row r="15" customFormat="false" ht="13.8" hidden="false" customHeight="false" outlineLevel="0" collapsed="false">
      <c r="A15" s="11" t="s">
        <v>137</v>
      </c>
      <c r="B15" s="11" t="s">
        <v>150</v>
      </c>
      <c r="C15" s="11" t="s">
        <v>139</v>
      </c>
      <c r="D15" s="12"/>
      <c r="E15" s="11" t="n">
        <v>155.210183372017</v>
      </c>
      <c r="F15" s="11" t="n">
        <v>156.271859679161</v>
      </c>
      <c r="G15" s="11" t="n">
        <v>149.147325188655</v>
      </c>
      <c r="H15" s="11" t="n">
        <v>142.970505585164</v>
      </c>
      <c r="I15" s="11" t="n">
        <v>144.939171160249</v>
      </c>
      <c r="J15" s="11" t="n">
        <v>142.047617499013</v>
      </c>
      <c r="K15" s="11" t="n">
        <v>143.717639680949</v>
      </c>
      <c r="L15" s="11" t="n">
        <v>143.494795531567</v>
      </c>
      <c r="M15" s="11" t="n">
        <v>139.14103282832</v>
      </c>
      <c r="N15" s="11" t="n">
        <v>123.629330134691</v>
      </c>
      <c r="O15" s="11" t="n">
        <v>121.111452530912</v>
      </c>
      <c r="P15" s="11" t="n">
        <v>114.746283727103</v>
      </c>
      <c r="Q15" s="11" t="n">
        <v>103.637049196788</v>
      </c>
      <c r="R15" s="11" t="n">
        <v>106.49000508903</v>
      </c>
      <c r="S15" s="11" t="n">
        <v>105.098079619397</v>
      </c>
      <c r="T15" s="11" t="n">
        <v>103.824137549561</v>
      </c>
      <c r="U15" s="11" t="n">
        <v>100.998635280202</v>
      </c>
      <c r="V15" s="11" t="n">
        <v>101.477150630374</v>
      </c>
      <c r="W15" s="11" t="n">
        <v>92.8250981074121</v>
      </c>
      <c r="X15" s="11" t="n">
        <v>74.9407923049745</v>
      </c>
      <c r="Y15" s="11" t="n">
        <v>78.1926375067519</v>
      </c>
      <c r="Z15" s="11" t="n">
        <v>74.1129709760534</v>
      </c>
      <c r="AA15" s="11" t="n">
        <v>72.2967795036334</v>
      </c>
      <c r="AB15" s="11" t="n">
        <v>76.5579340205147</v>
      </c>
      <c r="AC15" s="11" t="n">
        <v>74.3363569200435</v>
      </c>
      <c r="AD15" s="11" t="n">
        <v>70.6321744390849</v>
      </c>
      <c r="AE15" s="11" t="n">
        <v>64.3290076086309</v>
      </c>
      <c r="AF15" s="11" t="n">
        <v>64.5240921975261</v>
      </c>
      <c r="AG15" s="11" t="n">
        <v>63.2085283794884</v>
      </c>
      <c r="AH15" s="11" t="n">
        <v>61.7304354520241</v>
      </c>
      <c r="AI15" s="11" t="n">
        <v>58.4013839421159</v>
      </c>
      <c r="AJ15" s="11" t="n">
        <v>57.9447311709853</v>
      </c>
      <c r="AK15" s="11" t="n">
        <v>54.3588225473647</v>
      </c>
      <c r="AL15" s="11" t="n">
        <v>53.0510806414845</v>
      </c>
      <c r="AM15" s="11" t="n">
        <v>43.264905241902</v>
      </c>
      <c r="AN15" s="11" t="n">
        <v>40.9555140682644</v>
      </c>
      <c r="AO15" s="11" t="n">
        <v>40.2448983811767</v>
      </c>
      <c r="AP15" s="11" t="n">
        <v>40.1957016367567</v>
      </c>
      <c r="AQ15" s="11" t="n">
        <v>40.1488336199221</v>
      </c>
      <c r="AR15" s="11" t="n">
        <v>40.1037173396796</v>
      </c>
      <c r="AS15" s="11" t="n">
        <v>40.1511565149203</v>
      </c>
      <c r="AT15" s="11" t="n">
        <v>40.2700309603794</v>
      </c>
      <c r="AU15" s="11" t="n">
        <v>40.4813527646469</v>
      </c>
      <c r="AV15" s="11" t="n">
        <v>40.7127803025644</v>
      </c>
      <c r="AW15" s="11" t="n">
        <v>40.6313535769586</v>
      </c>
      <c r="AX15" s="11" t="n">
        <v>40.7011112246515</v>
      </c>
      <c r="AY15" s="11" t="n">
        <v>40.8435289548422</v>
      </c>
      <c r="AZ15" s="11" t="n">
        <v>41.177658437627</v>
      </c>
      <c r="BA15" s="11" t="n">
        <v>41.4062301590769</v>
      </c>
      <c r="BB15" s="11" t="n">
        <v>41.7312935707753</v>
      </c>
      <c r="BC15" s="11" t="n">
        <v>42.3924283879571</v>
      </c>
      <c r="BD15" s="11" t="n">
        <v>43.2954938308852</v>
      </c>
      <c r="BE15" s="11" t="n">
        <v>43.7083158328656</v>
      </c>
      <c r="BF15" s="11" t="n">
        <v>44.1547197478663</v>
      </c>
      <c r="BG15" s="11" t="n">
        <v>44.5278294009747</v>
      </c>
      <c r="BH15" s="11" t="n">
        <v>45.0277099736373</v>
      </c>
      <c r="BI15" s="11" t="n">
        <v>45.6043177303332</v>
      </c>
      <c r="BJ15" s="11" t="n">
        <v>46.0579508808019</v>
      </c>
      <c r="BK15" s="11" t="n">
        <v>46.5734333925475</v>
      </c>
      <c r="BL15" s="11" t="n">
        <v>47.1973594403184</v>
      </c>
      <c r="BM15" s="11" t="n">
        <v>47.7446048749969</v>
      </c>
      <c r="BN15" s="11" t="n">
        <v>217.712099969584</v>
      </c>
      <c r="BO15" s="11" t="n">
        <v>201.155091199548</v>
      </c>
      <c r="BP15" s="11" t="n">
        <v>204.066432496644</v>
      </c>
      <c r="BQ15" s="11" t="n">
        <v>212.53376178156</v>
      </c>
    </row>
    <row r="16" customFormat="false" ht="13.8" hidden="false" customHeight="false" outlineLevel="0" collapsed="false">
      <c r="A16" s="11" t="s">
        <v>137</v>
      </c>
      <c r="B16" s="11" t="s">
        <v>151</v>
      </c>
      <c r="C16" s="11" t="s">
        <v>139</v>
      </c>
      <c r="D16" s="12"/>
      <c r="E16" s="11" t="n">
        <v>10.6238726313304</v>
      </c>
      <c r="F16" s="11" t="n">
        <v>10.1117391556074</v>
      </c>
      <c r="G16" s="11" t="n">
        <v>9.27921462608944</v>
      </c>
      <c r="H16" s="11" t="n">
        <v>8.69384849016799</v>
      </c>
      <c r="I16" s="11" t="n">
        <v>8.25499275587914</v>
      </c>
      <c r="J16" s="11" t="n">
        <v>8.29408156773373</v>
      </c>
      <c r="K16" s="11" t="n">
        <v>7.29888881565862</v>
      </c>
      <c r="L16" s="11" t="n">
        <v>6.74965008724043</v>
      </c>
      <c r="M16" s="11" t="n">
        <v>5.96165299469253</v>
      </c>
      <c r="N16" s="11" t="n">
        <v>6.07622611866308</v>
      </c>
      <c r="O16" s="11" t="n">
        <v>5.81650006179739</v>
      </c>
      <c r="P16" s="11" t="n">
        <v>5.17351914195232</v>
      </c>
      <c r="Q16" s="11" t="n">
        <v>4.3457864800215</v>
      </c>
      <c r="R16" s="11" t="n">
        <v>4.18559867581597</v>
      </c>
      <c r="S16" s="11" t="n">
        <v>3.32599036920681</v>
      </c>
      <c r="T16" s="11" t="n">
        <v>2.9562338693275</v>
      </c>
      <c r="U16" s="11" t="n">
        <v>2.53705519258907</v>
      </c>
      <c r="V16" s="11" t="n">
        <v>1.91003713291074</v>
      </c>
      <c r="W16" s="11" t="n">
        <v>1.22774903416887</v>
      </c>
      <c r="X16" s="11" t="n">
        <v>1.13558384043056</v>
      </c>
      <c r="Y16" s="11" t="n">
        <v>1.05006812917394</v>
      </c>
      <c r="Z16" s="11" t="n">
        <v>0.403891460082559</v>
      </c>
      <c r="AA16" s="11" t="n">
        <v>0.505346373580899</v>
      </c>
      <c r="AB16" s="11" t="n">
        <v>0.398968456201688</v>
      </c>
      <c r="AC16" s="11" t="n">
        <v>0.0720308545919051</v>
      </c>
      <c r="AD16" s="11" t="n">
        <v>-0.0617161466723095</v>
      </c>
      <c r="AE16" s="11" t="n">
        <v>0.295045210907602</v>
      </c>
      <c r="AF16" s="11" t="n">
        <v>0.0212098248235166</v>
      </c>
      <c r="AG16" s="11" t="n">
        <v>0.684754591408561</v>
      </c>
      <c r="AH16" s="11" t="n">
        <v>0.551649018647841</v>
      </c>
      <c r="AI16" s="11" t="n">
        <v>0.401275637288971</v>
      </c>
      <c r="AJ16" s="11" t="n">
        <v>0.235021339974384</v>
      </c>
      <c r="AK16" s="11" t="n">
        <v>0.541752124764701</v>
      </c>
      <c r="AL16" s="11" t="n">
        <v>1.11971398879782</v>
      </c>
      <c r="AM16" s="11" t="n">
        <v>0.772473937745439</v>
      </c>
      <c r="AN16" s="11" t="n">
        <v>0.853387721119312</v>
      </c>
      <c r="AO16" s="11" t="n">
        <v>0.941803891439627</v>
      </c>
      <c r="AP16" s="11" t="n">
        <v>1.0524935424253</v>
      </c>
      <c r="AQ16" s="11" t="n">
        <v>1.03922145167634</v>
      </c>
      <c r="AR16" s="11" t="n">
        <v>1.18494290131125</v>
      </c>
      <c r="AS16" s="11" t="n">
        <v>1.33687784699157</v>
      </c>
      <c r="AT16" s="11" t="n">
        <v>1.59385231293396</v>
      </c>
      <c r="AU16" s="11" t="n">
        <v>1.8600063221481</v>
      </c>
      <c r="AV16" s="11" t="n">
        <v>2.18002045240814</v>
      </c>
      <c r="AW16" s="11" t="n">
        <v>2.52245540334349</v>
      </c>
      <c r="AX16" s="11" t="n">
        <v>2.86269668185092</v>
      </c>
      <c r="AY16" s="11" t="n">
        <v>3.19105952896709</v>
      </c>
      <c r="AZ16" s="11" t="n">
        <v>3.48110002502241</v>
      </c>
      <c r="BA16" s="11" t="n">
        <v>3.70278702304935</v>
      </c>
      <c r="BB16" s="11" t="n">
        <v>3.92197933803404</v>
      </c>
      <c r="BC16" s="11" t="n">
        <v>4.10534913163694</v>
      </c>
      <c r="BD16" s="11" t="n">
        <v>4.29487024454033</v>
      </c>
      <c r="BE16" s="11" t="n">
        <v>4.41276908506392</v>
      </c>
      <c r="BF16" s="11" t="n">
        <v>4.4824162145559</v>
      </c>
      <c r="BG16" s="11" t="n">
        <v>4.5196378751338</v>
      </c>
      <c r="BH16" s="11" t="n">
        <v>4.51963829708352</v>
      </c>
      <c r="BI16" s="11" t="n">
        <v>4.54417530675068</v>
      </c>
      <c r="BJ16" s="11" t="n">
        <v>4.5413256061281</v>
      </c>
      <c r="BK16" s="11" t="n">
        <v>4.49044859857959</v>
      </c>
      <c r="BL16" s="11" t="n">
        <v>4.432307529618</v>
      </c>
      <c r="BM16" s="11" t="n">
        <v>4.35862189668963</v>
      </c>
      <c r="BN16" s="11" t="n">
        <v>4.7398730815275</v>
      </c>
      <c r="BO16" s="11" t="n">
        <v>7.01490083506122</v>
      </c>
      <c r="BP16" s="11" t="n">
        <v>14.237332091592</v>
      </c>
      <c r="BQ16" s="11" t="n">
        <v>20.4377548223246</v>
      </c>
    </row>
    <row r="17" customFormat="false" ht="13.8" hidden="false" customHeight="false" outlineLevel="0" collapsed="false">
      <c r="A17" s="11" t="s">
        <v>137</v>
      </c>
      <c r="B17" s="11" t="s">
        <v>152</v>
      </c>
      <c r="C17" s="11" t="s">
        <v>139</v>
      </c>
      <c r="D17" s="12"/>
      <c r="E17" s="11" t="n">
        <v>70.2851382107241</v>
      </c>
      <c r="F17" s="11" t="n">
        <v>71.151851599193</v>
      </c>
      <c r="G17" s="11" t="n">
        <v>71.3100141105853</v>
      </c>
      <c r="H17" s="11" t="n">
        <v>71.9864210312014</v>
      </c>
      <c r="I17" s="11" t="n">
        <v>72.4678954520794</v>
      </c>
      <c r="J17" s="11" t="n">
        <v>73.1884732530741</v>
      </c>
      <c r="K17" s="11" t="n">
        <v>73.837094103762</v>
      </c>
      <c r="L17" s="11" t="n">
        <v>73.4280783971221</v>
      </c>
      <c r="M17" s="11" t="n">
        <v>73.0234035710687</v>
      </c>
      <c r="N17" s="11" t="n">
        <v>70.5019423640304</v>
      </c>
      <c r="O17" s="11" t="n">
        <v>67.7097679254948</v>
      </c>
      <c r="P17" s="11" t="n">
        <v>65.3994841446133</v>
      </c>
      <c r="Q17" s="11" t="n">
        <v>64.9403304902158</v>
      </c>
      <c r="R17" s="11" t="n">
        <v>61.4927753474449</v>
      </c>
      <c r="S17" s="11" t="n">
        <v>56.8302306730879</v>
      </c>
      <c r="T17" s="11" t="n">
        <v>54.5724508834386</v>
      </c>
      <c r="U17" s="11" t="n">
        <v>52.5935161979471</v>
      </c>
      <c r="V17" s="11" t="n">
        <v>48.9942991372736</v>
      </c>
      <c r="W17" s="11" t="n">
        <v>44.1227456084859</v>
      </c>
      <c r="X17" s="11" t="n">
        <v>40.0510232965439</v>
      </c>
      <c r="Y17" s="11" t="n">
        <v>34.8066625346662</v>
      </c>
      <c r="Z17" s="11" t="n">
        <v>32.5074384532321</v>
      </c>
      <c r="AA17" s="11" t="n">
        <v>30.7786870267161</v>
      </c>
      <c r="AB17" s="11" t="n">
        <v>27.3928962699161</v>
      </c>
      <c r="AC17" s="11" t="n">
        <v>24.9411451513854</v>
      </c>
      <c r="AD17" s="11" t="n">
        <v>24.1173212960075</v>
      </c>
      <c r="AE17" s="11" t="n">
        <v>22.9420269878946</v>
      </c>
      <c r="AF17" s="11" t="n">
        <v>23.2815089852244</v>
      </c>
      <c r="AG17" s="11" t="n">
        <v>23.1253245940443</v>
      </c>
      <c r="AH17" s="11" t="n">
        <v>22.6426622638461</v>
      </c>
      <c r="AI17" s="11" t="n">
        <v>21.1336177423037</v>
      </c>
      <c r="AJ17" s="11" t="n">
        <v>20.070118805901</v>
      </c>
      <c r="AK17" s="11" t="n">
        <v>19.973741830599</v>
      </c>
      <c r="AL17" s="11" t="n">
        <v>19.8666312812049</v>
      </c>
      <c r="AM17" s="11" t="n">
        <v>19.0389138671954</v>
      </c>
      <c r="AN17" s="11" t="n">
        <v>18.68079785472</v>
      </c>
      <c r="AO17" s="11" t="n">
        <v>18.2742186983601</v>
      </c>
      <c r="AP17" s="11" t="n">
        <v>19.0562015425985</v>
      </c>
      <c r="AQ17" s="11" t="n">
        <v>18.5418745100844</v>
      </c>
      <c r="AR17" s="11" t="n">
        <v>18.0763860226011</v>
      </c>
      <c r="AS17" s="11" t="n">
        <v>17.6273968574034</v>
      </c>
      <c r="AT17" s="11" t="n">
        <v>17.2009434534671</v>
      </c>
      <c r="AU17" s="11" t="n">
        <v>16.8220713191881</v>
      </c>
      <c r="AV17" s="11" t="n">
        <v>16.4851047580111</v>
      </c>
      <c r="AW17" s="11" t="n">
        <v>16.1770064175967</v>
      </c>
      <c r="AX17" s="11" t="n">
        <v>15.8818564320906</v>
      </c>
      <c r="AY17" s="11" t="n">
        <v>15.6270769002136</v>
      </c>
      <c r="AZ17" s="11" t="n">
        <v>15.3795731929992</v>
      </c>
      <c r="BA17" s="11" t="n">
        <v>15.1224618938871</v>
      </c>
      <c r="BB17" s="11" t="n">
        <v>14.8986135052778</v>
      </c>
      <c r="BC17" s="11" t="n">
        <v>14.6883052628965</v>
      </c>
      <c r="BD17" s="11" t="n">
        <v>14.5694380007744</v>
      </c>
      <c r="BE17" s="11" t="n">
        <v>14.474491911961</v>
      </c>
      <c r="BF17" s="11" t="n">
        <v>14.4221447981819</v>
      </c>
      <c r="BG17" s="11" t="n">
        <v>14.3979964700364</v>
      </c>
      <c r="BH17" s="11" t="n">
        <v>14.3032211884369</v>
      </c>
      <c r="BI17" s="11" t="n">
        <v>14.2356231569591</v>
      </c>
      <c r="BJ17" s="11" t="n">
        <v>14.1892285597356</v>
      </c>
      <c r="BK17" s="11" t="n">
        <v>14.1354109589105</v>
      </c>
      <c r="BL17" s="11" t="n">
        <v>14.084000656043</v>
      </c>
      <c r="BM17" s="11" t="n">
        <v>13.9711467999586</v>
      </c>
      <c r="BN17" s="11" t="n">
        <v>94.9167632440789</v>
      </c>
      <c r="BO17" s="11" t="n">
        <v>88.2686721627442</v>
      </c>
      <c r="BP17" s="11" t="n">
        <v>79.5506177009113</v>
      </c>
      <c r="BQ17" s="11" t="n">
        <v>73.7533105747968</v>
      </c>
    </row>
    <row r="18" customFormat="false" ht="35" hidden="false" customHeight="true" outlineLevel="0" collapsed="false">
      <c r="A18" s="11" t="s">
        <v>153</v>
      </c>
      <c r="B18" s="11" t="s">
        <v>138</v>
      </c>
      <c r="C18" s="11" t="s">
        <v>139</v>
      </c>
      <c r="D18" s="12"/>
      <c r="E18" s="11" t="n">
        <v>603.336298084818</v>
      </c>
      <c r="F18" s="11" t="n">
        <v>610.422742979154</v>
      </c>
      <c r="G18" s="11" t="n">
        <v>593.89666929849</v>
      </c>
      <c r="H18" s="11" t="n">
        <v>579.193090268219</v>
      </c>
      <c r="I18" s="11" t="n">
        <v>572.878728669356</v>
      </c>
      <c r="J18" s="11" t="n">
        <v>565.012120041528</v>
      </c>
      <c r="K18" s="11" t="n">
        <v>584.62589830858</v>
      </c>
      <c r="L18" s="11" t="n">
        <v>560.574983315698</v>
      </c>
      <c r="M18" s="11" t="n">
        <v>564.759792983951</v>
      </c>
      <c r="N18" s="11" t="n">
        <v>557.588220205016</v>
      </c>
      <c r="O18" s="11" t="n">
        <v>565.162492918641</v>
      </c>
      <c r="P18" s="11" t="n">
        <v>573.964479725089</v>
      </c>
      <c r="Q18" s="11" t="n">
        <v>555.80343083861</v>
      </c>
      <c r="R18" s="11" t="n">
        <v>566.511262419602</v>
      </c>
      <c r="S18" s="11" t="n">
        <v>567.86357458801</v>
      </c>
      <c r="T18" s="11" t="n">
        <v>564.216661675886</v>
      </c>
      <c r="U18" s="11" t="n">
        <v>561.458993988509</v>
      </c>
      <c r="V18" s="11" t="n">
        <v>552.288780770535</v>
      </c>
      <c r="W18" s="11" t="n">
        <v>537.549972069563</v>
      </c>
      <c r="X18" s="11" t="n">
        <v>486.622805814174</v>
      </c>
      <c r="Y18" s="11" t="n">
        <v>505.211481794022</v>
      </c>
      <c r="Z18" s="11" t="n">
        <v>463.170131257442</v>
      </c>
      <c r="AA18" s="11" t="n">
        <v>481.182573645095</v>
      </c>
      <c r="AB18" s="11" t="n">
        <v>472.813714297742</v>
      </c>
      <c r="AC18" s="11" t="n">
        <v>432.028703368812</v>
      </c>
      <c r="AD18" s="11" t="n">
        <v>413.028689858684</v>
      </c>
      <c r="AE18" s="11" t="n">
        <v>389.424014740231</v>
      </c>
      <c r="AF18" s="11" t="n">
        <v>377.092186764653</v>
      </c>
      <c r="AG18" s="11" t="n">
        <v>371.386006570356</v>
      </c>
      <c r="AH18" s="11" t="n">
        <v>355.608188894276</v>
      </c>
      <c r="AI18" s="11" t="n">
        <v>320.456683627827</v>
      </c>
      <c r="AJ18" s="11" t="n">
        <v>336.431050048798</v>
      </c>
      <c r="AK18" s="11" t="n">
        <v>320.77521241846</v>
      </c>
      <c r="AL18" s="11" t="n">
        <v>302.818745999092</v>
      </c>
      <c r="AM18" s="11" t="n">
        <v>291.257867282488</v>
      </c>
      <c r="AN18" s="11" t="n">
        <v>283.855366366524</v>
      </c>
      <c r="AO18" s="11" t="n">
        <v>277.02336247149</v>
      </c>
      <c r="AP18" s="11" t="n">
        <v>270.917232634511</v>
      </c>
      <c r="AQ18" s="11" t="n">
        <v>264.826553266996</v>
      </c>
      <c r="AR18" s="11" t="n">
        <v>260.464744034539</v>
      </c>
      <c r="AS18" s="11" t="n">
        <v>255.129221095571</v>
      </c>
      <c r="AT18" s="11" t="n">
        <v>249.126575137664</v>
      </c>
      <c r="AU18" s="11" t="n">
        <v>244.560895535419</v>
      </c>
      <c r="AV18" s="11" t="n">
        <v>240.44441226818</v>
      </c>
      <c r="AW18" s="11" t="n">
        <v>237.401455860692</v>
      </c>
      <c r="AX18" s="11" t="n">
        <v>236.68510146198</v>
      </c>
      <c r="AY18" s="11" t="n">
        <v>234.484546200326</v>
      </c>
      <c r="AZ18" s="11" t="n">
        <v>233.552448488128</v>
      </c>
      <c r="BA18" s="11" t="n">
        <v>231.777194250486</v>
      </c>
      <c r="BB18" s="11" t="n">
        <v>230.065154345239</v>
      </c>
      <c r="BC18" s="11" t="n">
        <v>229.420777373343</v>
      </c>
      <c r="BD18" s="11" t="n">
        <v>229.442937212824</v>
      </c>
      <c r="BE18" s="11" t="n">
        <v>229.733989067876</v>
      </c>
      <c r="BF18" s="11" t="n">
        <v>230.195614018444</v>
      </c>
      <c r="BG18" s="11" t="n">
        <v>231.11304646217</v>
      </c>
      <c r="BH18" s="11" t="n">
        <v>231.327204030261</v>
      </c>
      <c r="BI18" s="11" t="n">
        <v>232.372987185251</v>
      </c>
      <c r="BJ18" s="11" t="n">
        <v>233.50274198074</v>
      </c>
      <c r="BK18" s="11" t="n">
        <v>234.891295188219</v>
      </c>
      <c r="BL18" s="11" t="n">
        <v>233.371886408926</v>
      </c>
      <c r="BM18" s="11" t="n">
        <v>231.575638975575</v>
      </c>
      <c r="BN18" s="11" t="n">
        <v>1425.8725747541</v>
      </c>
      <c r="BO18" s="11" t="n">
        <v>1274.10798907019</v>
      </c>
      <c r="BP18" s="11" t="n">
        <v>1182.56796427931</v>
      </c>
      <c r="BQ18" s="11" t="n">
        <v>1150.44005224977</v>
      </c>
    </row>
    <row r="19" customFormat="false" ht="13.8" hidden="false" customHeight="false" outlineLevel="0" collapsed="false">
      <c r="A19" s="11" t="s">
        <v>154</v>
      </c>
      <c r="B19" s="11" t="s">
        <v>138</v>
      </c>
      <c r="C19" s="11" t="s">
        <v>139</v>
      </c>
      <c r="D19" s="12"/>
      <c r="E19" s="11" t="n">
        <v>148.514708918511</v>
      </c>
      <c r="F19" s="11" t="n">
        <v>149.522883129139</v>
      </c>
      <c r="G19" s="11" t="n">
        <v>149.334286494092</v>
      </c>
      <c r="H19" s="11" t="n">
        <v>147.839744836613</v>
      </c>
      <c r="I19" s="11" t="n">
        <v>140.211634413435</v>
      </c>
      <c r="J19" s="11" t="n">
        <v>141.616469413381</v>
      </c>
      <c r="K19" s="11" t="n">
        <v>141.129088015338</v>
      </c>
      <c r="L19" s="11" t="n">
        <v>138.514419104935</v>
      </c>
      <c r="M19" s="11" t="n">
        <v>135.452159017157</v>
      </c>
      <c r="N19" s="11" t="n">
        <v>129.850722605684</v>
      </c>
      <c r="O19" s="11" t="n">
        <v>123.91318100975</v>
      </c>
      <c r="P19" s="11" t="n">
        <v>118.633193392571</v>
      </c>
      <c r="Q19" s="11" t="n">
        <v>116.770475200267</v>
      </c>
      <c r="R19" s="11" t="n">
        <v>111.847053547749</v>
      </c>
      <c r="S19" s="11" t="n">
        <v>107.027592432196</v>
      </c>
      <c r="T19" s="11" t="n">
        <v>102.657564949537</v>
      </c>
      <c r="U19" s="11" t="n">
        <v>99.2229137622366</v>
      </c>
      <c r="V19" s="11" t="n">
        <v>94.7683590423196</v>
      </c>
      <c r="W19" s="11" t="n">
        <v>88.4896489044157</v>
      </c>
      <c r="X19" s="11" t="n">
        <v>83.9163448220265</v>
      </c>
      <c r="Y19" s="11" t="n">
        <v>78.6601681071082</v>
      </c>
      <c r="Z19" s="11" t="n">
        <v>75.6638634957862</v>
      </c>
      <c r="AA19" s="11" t="n">
        <v>73.8213864085854</v>
      </c>
      <c r="AB19" s="11" t="n">
        <v>68.9733929095899</v>
      </c>
      <c r="AC19" s="11" t="n">
        <v>66.6756343230591</v>
      </c>
      <c r="AD19" s="11" t="n">
        <v>65.4720850153698</v>
      </c>
      <c r="AE19" s="11" t="n">
        <v>63.0735715725793</v>
      </c>
      <c r="AF19" s="11" t="n">
        <v>63.3521325327859</v>
      </c>
      <c r="AG19" s="11" t="n">
        <v>62.7539260516365</v>
      </c>
      <c r="AH19" s="11" t="n">
        <v>62.4076099579537</v>
      </c>
      <c r="AI19" s="11" t="n">
        <v>59.9951325066321</v>
      </c>
      <c r="AJ19" s="11" t="n">
        <v>58.7244392039057</v>
      </c>
      <c r="AK19" s="11" t="n">
        <v>58.0852368661455</v>
      </c>
      <c r="AL19" s="11" t="n">
        <v>57.0154579706681</v>
      </c>
      <c r="AM19" s="11" t="n">
        <v>55.5125083077318</v>
      </c>
      <c r="AN19" s="11" t="n">
        <v>54.6897157801035</v>
      </c>
      <c r="AO19" s="11" t="n">
        <v>54.0233028894027</v>
      </c>
      <c r="AP19" s="11" t="n">
        <v>54.6252383479928</v>
      </c>
      <c r="AQ19" s="11" t="n">
        <v>53.8697144668175</v>
      </c>
      <c r="AR19" s="11" t="n">
        <v>53.257816786514</v>
      </c>
      <c r="AS19" s="11" t="n">
        <v>52.5959314446797</v>
      </c>
      <c r="AT19" s="11" t="n">
        <v>51.9377583049647</v>
      </c>
      <c r="AU19" s="11" t="n">
        <v>51.2494561893684</v>
      </c>
      <c r="AV19" s="11" t="n">
        <v>50.6126320289455</v>
      </c>
      <c r="AW19" s="11" t="n">
        <v>50.0513441758997</v>
      </c>
      <c r="AX19" s="11" t="n">
        <v>49.4512150812278</v>
      </c>
      <c r="AY19" s="11" t="n">
        <v>48.8437034599855</v>
      </c>
      <c r="AZ19" s="11" t="n">
        <v>48.2296660407174</v>
      </c>
      <c r="BA19" s="11" t="n">
        <v>47.6653166207375</v>
      </c>
      <c r="BB19" s="11" t="n">
        <v>47.1134258273003</v>
      </c>
      <c r="BC19" s="11" t="n">
        <v>46.5827398281154</v>
      </c>
      <c r="BD19" s="11" t="n">
        <v>46.0616385595367</v>
      </c>
      <c r="BE19" s="11" t="n">
        <v>45.5749868916334</v>
      </c>
      <c r="BF19" s="11" t="n">
        <v>45.1716440144756</v>
      </c>
      <c r="BG19" s="11" t="n">
        <v>44.7931340889309</v>
      </c>
      <c r="BH19" s="11" t="n">
        <v>44.336809347989</v>
      </c>
      <c r="BI19" s="11" t="n">
        <v>43.9043981487187</v>
      </c>
      <c r="BJ19" s="11" t="n">
        <v>43.4858250429672</v>
      </c>
      <c r="BK19" s="11" t="n">
        <v>43.0638581618308</v>
      </c>
      <c r="BL19" s="11" t="n">
        <v>42.6521778846964</v>
      </c>
      <c r="BM19" s="11" t="n">
        <v>42.1855648256779</v>
      </c>
      <c r="BN19" s="11" t="n">
        <v>275.866223295899</v>
      </c>
      <c r="BO19" s="11" t="n">
        <v>262.910677192344</v>
      </c>
      <c r="BP19" s="11" t="n">
        <v>247.188560786776</v>
      </c>
      <c r="BQ19" s="11" t="n">
        <v>232.998107727323</v>
      </c>
    </row>
    <row r="20" customFormat="false" ht="13.8" hidden="false" customHeight="false" outlineLevel="0" collapsed="false">
      <c r="A20" s="11" t="s">
        <v>155</v>
      </c>
      <c r="B20" s="11" t="s">
        <v>138</v>
      </c>
      <c r="C20" s="11" t="s">
        <v>139</v>
      </c>
      <c r="D20" s="12"/>
      <c r="E20" s="11" t="n">
        <v>44.0704550397254</v>
      </c>
      <c r="F20" s="11" t="n">
        <v>44.1797412823124</v>
      </c>
      <c r="G20" s="11" t="n">
        <v>39.6961971076383</v>
      </c>
      <c r="H20" s="11" t="n">
        <v>35.8885563050248</v>
      </c>
      <c r="I20" s="11" t="n">
        <v>36.4843849417418</v>
      </c>
      <c r="J20" s="11" t="n">
        <v>35.2609430810058</v>
      </c>
      <c r="K20" s="11" t="n">
        <v>35.237380764458</v>
      </c>
      <c r="L20" s="11" t="n">
        <v>35.4827508380865</v>
      </c>
      <c r="M20" s="11" t="n">
        <v>35.5123899483833</v>
      </c>
      <c r="N20" s="11" t="n">
        <v>26.9725209280125</v>
      </c>
      <c r="O20" s="11" t="n">
        <v>26.4401263932033</v>
      </c>
      <c r="P20" s="11" t="n">
        <v>25.1975850754959</v>
      </c>
      <c r="Q20" s="11" t="n">
        <v>23.6909797075244</v>
      </c>
      <c r="R20" s="11" t="n">
        <v>23.3321043111327</v>
      </c>
      <c r="S20" s="11" t="n">
        <v>23.8193639895212</v>
      </c>
      <c r="T20" s="11" t="n">
        <v>22.8993495466566</v>
      </c>
      <c r="U20" s="11" t="n">
        <v>21.982067617198</v>
      </c>
      <c r="V20" s="11" t="n">
        <v>21.9973691598158</v>
      </c>
      <c r="W20" s="11" t="n">
        <v>21.4418791719788</v>
      </c>
      <c r="X20" s="11" t="n">
        <v>19.9972703120257</v>
      </c>
      <c r="Y20" s="11" t="n">
        <v>20.4621460196353</v>
      </c>
      <c r="Z20" s="11" t="n">
        <v>19.7196914333328</v>
      </c>
      <c r="AA20" s="11" t="n">
        <v>19.6535334712754</v>
      </c>
      <c r="AB20" s="11" t="n">
        <v>19.6904675921763</v>
      </c>
      <c r="AC20" s="11" t="n">
        <v>20.1970291565974</v>
      </c>
      <c r="AD20" s="11" t="n">
        <v>20.0764785825238</v>
      </c>
      <c r="AE20" s="11" t="n">
        <v>19.6185628297959</v>
      </c>
      <c r="AF20" s="11" t="n">
        <v>19.8843934118169</v>
      </c>
      <c r="AG20" s="11" t="n">
        <v>19.761921421575</v>
      </c>
      <c r="AH20" s="11" t="n">
        <v>19.8144066150671</v>
      </c>
      <c r="AI20" s="11" t="n">
        <v>18.779891993834</v>
      </c>
      <c r="AJ20" s="11" t="n">
        <v>19.1537538803101</v>
      </c>
      <c r="AK20" s="11" t="n">
        <v>18.2676513371755</v>
      </c>
      <c r="AL20" s="11" t="n">
        <v>18.0936851388269</v>
      </c>
      <c r="AM20" s="11" t="n">
        <v>18.376947460324</v>
      </c>
      <c r="AN20" s="11" t="n">
        <v>18.3551363193973</v>
      </c>
      <c r="AO20" s="11" t="n">
        <v>18.3390801906498</v>
      </c>
      <c r="AP20" s="11" t="n">
        <v>18.2965547463606</v>
      </c>
      <c r="AQ20" s="11" t="n">
        <v>18.1738051182322</v>
      </c>
      <c r="AR20" s="11" t="n">
        <v>18.1480950565625</v>
      </c>
      <c r="AS20" s="11" t="n">
        <v>18.0813132255152</v>
      </c>
      <c r="AT20" s="11" t="n">
        <v>18.0034414760987</v>
      </c>
      <c r="AU20" s="11" t="n">
        <v>17.8642718494847</v>
      </c>
      <c r="AV20" s="11" t="n">
        <v>17.7778061639287</v>
      </c>
      <c r="AW20" s="11" t="n">
        <v>17.7060505593089</v>
      </c>
      <c r="AX20" s="11" t="n">
        <v>17.6025888407559</v>
      </c>
      <c r="AY20" s="11" t="n">
        <v>17.5030051999554</v>
      </c>
      <c r="AZ20" s="11" t="n">
        <v>17.3227516282466</v>
      </c>
      <c r="BA20" s="11" t="n">
        <v>17.2504045346094</v>
      </c>
      <c r="BB20" s="11" t="n">
        <v>17.1690775466325</v>
      </c>
      <c r="BC20" s="11" t="n">
        <v>17.0960305259003</v>
      </c>
      <c r="BD20" s="11" t="n">
        <v>17.0157427355568</v>
      </c>
      <c r="BE20" s="11" t="n">
        <v>16.9415014091873</v>
      </c>
      <c r="BF20" s="11" t="n">
        <v>16.8850965029273</v>
      </c>
      <c r="BG20" s="11" t="n">
        <v>16.8332713140137</v>
      </c>
      <c r="BH20" s="11" t="n">
        <v>16.7810303903655</v>
      </c>
      <c r="BI20" s="11" t="n">
        <v>16.7339792850186</v>
      </c>
      <c r="BJ20" s="11" t="n">
        <v>16.6856853760077</v>
      </c>
      <c r="BK20" s="11" t="n">
        <v>16.6345632081743</v>
      </c>
      <c r="BL20" s="11" t="n">
        <v>16.5853762497418</v>
      </c>
      <c r="BM20" s="11" t="n">
        <v>16.5374777160121</v>
      </c>
      <c r="BN20" s="11" t="n">
        <v>91.4614038555586</v>
      </c>
      <c r="BO20" s="11" t="n">
        <v>90.2709267258932</v>
      </c>
      <c r="BP20" s="11" t="n">
        <v>87.9122023921955</v>
      </c>
      <c r="BQ20" s="11" t="n">
        <v>85.4727567518864</v>
      </c>
    </row>
    <row r="21" customFormat="false" ht="13.8" hidden="false" customHeight="false" outlineLevel="0" collapsed="false">
      <c r="A21" s="11" t="s">
        <v>156</v>
      </c>
      <c r="B21" s="11" t="s">
        <v>138</v>
      </c>
      <c r="C21" s="11" t="s">
        <v>139</v>
      </c>
      <c r="D21" s="12"/>
      <c r="E21" s="11" t="n">
        <v>12.0611019747843</v>
      </c>
      <c r="F21" s="11" t="n">
        <v>12.560947045067</v>
      </c>
      <c r="G21" s="11" t="n">
        <v>13.0608970765087</v>
      </c>
      <c r="H21" s="11" t="n">
        <v>13.7022535833677</v>
      </c>
      <c r="I21" s="11" t="n">
        <v>14.4551323986846</v>
      </c>
      <c r="J21" s="11" t="n">
        <v>15.4861113158081</v>
      </c>
      <c r="K21" s="11" t="n">
        <v>16.2087931058098</v>
      </c>
      <c r="L21" s="11" t="n">
        <v>18.0172093465266</v>
      </c>
      <c r="M21" s="11" t="n">
        <v>14.9080963382235</v>
      </c>
      <c r="N21" s="11" t="n">
        <v>7.96186376934351</v>
      </c>
      <c r="O21" s="11" t="n">
        <v>6.36046479715616</v>
      </c>
      <c r="P21" s="11" t="n">
        <v>7.05228750474409</v>
      </c>
      <c r="Q21" s="11" t="n">
        <v>7.4688138300499</v>
      </c>
      <c r="R21" s="11" t="n">
        <v>8.25870624154292</v>
      </c>
      <c r="S21" s="11" t="n">
        <v>7.36937772653388</v>
      </c>
      <c r="T21" s="11" t="n">
        <v>8.09555591302204</v>
      </c>
      <c r="U21" s="11" t="n">
        <v>8.88703175483168</v>
      </c>
      <c r="V21" s="11" t="n">
        <v>9.24213661121651</v>
      </c>
      <c r="W21" s="11" t="n">
        <v>9.58107153266835</v>
      </c>
      <c r="X21" s="11" t="n">
        <v>10.0020094196355</v>
      </c>
      <c r="Y21" s="11" t="n">
        <v>10.4979550302192</v>
      </c>
      <c r="Z21" s="11" t="n">
        <v>11.0654107151362</v>
      </c>
      <c r="AA21" s="11" t="n">
        <v>11.5161328830887</v>
      </c>
      <c r="AB21" s="11" t="n">
        <v>11.6114703501195</v>
      </c>
      <c r="AC21" s="11" t="n">
        <v>11.1356108294494</v>
      </c>
      <c r="AD21" s="11" t="n">
        <v>10.9498065093755</v>
      </c>
      <c r="AE21" s="11" t="n">
        <v>10.614142394623</v>
      </c>
      <c r="AF21" s="11" t="n">
        <v>10.121289044966</v>
      </c>
      <c r="AG21" s="11" t="n">
        <v>9.66952181906882</v>
      </c>
      <c r="AH21" s="11" t="n">
        <v>8.98580877911218</v>
      </c>
      <c r="AI21" s="11" t="n">
        <v>8.15976812106435</v>
      </c>
      <c r="AJ21" s="11" t="n">
        <v>7.58436627904264</v>
      </c>
      <c r="AK21" s="11" t="n">
        <v>7.06898863688573</v>
      </c>
      <c r="AL21" s="11" t="n">
        <v>6.59748890429982</v>
      </c>
      <c r="AM21" s="11" t="n">
        <v>6.14657126839515</v>
      </c>
      <c r="AN21" s="11" t="n">
        <v>5.78995641676736</v>
      </c>
      <c r="AO21" s="11" t="n">
        <v>5.45582110094931</v>
      </c>
      <c r="AP21" s="11" t="n">
        <v>5.13969410232909</v>
      </c>
      <c r="AQ21" s="11" t="n">
        <v>4.83421727365179</v>
      </c>
      <c r="AR21" s="11" t="n">
        <v>4.55598570157372</v>
      </c>
      <c r="AS21" s="11" t="n">
        <v>4.31470265813777</v>
      </c>
      <c r="AT21" s="11" t="n">
        <v>4.09884472060177</v>
      </c>
      <c r="AU21" s="11" t="n">
        <v>3.89091088317771</v>
      </c>
      <c r="AV21" s="11" t="n">
        <v>3.70734813175856</v>
      </c>
      <c r="AW21" s="11" t="n">
        <v>3.53638632023551</v>
      </c>
      <c r="AX21" s="11" t="n">
        <v>3.38044042697566</v>
      </c>
      <c r="AY21" s="11" t="n">
        <v>3.24624656805012</v>
      </c>
      <c r="AZ21" s="11" t="n">
        <v>3.14013667374679</v>
      </c>
      <c r="BA21" s="11" t="n">
        <v>3.06190005083167</v>
      </c>
      <c r="BB21" s="11" t="n">
        <v>3.0277117596006</v>
      </c>
      <c r="BC21" s="11" t="n">
        <v>3.01583177269943</v>
      </c>
      <c r="BD21" s="11" t="n">
        <v>3.01833912244435</v>
      </c>
      <c r="BE21" s="11" t="n">
        <v>3.03328730057938</v>
      </c>
      <c r="BF21" s="11" t="n">
        <v>3.05775648539493</v>
      </c>
      <c r="BG21" s="11" t="n">
        <v>3.08999621719718</v>
      </c>
      <c r="BH21" s="11" t="n">
        <v>3.12816469439176</v>
      </c>
      <c r="BI21" s="11" t="n">
        <v>3.16835087322069</v>
      </c>
      <c r="BJ21" s="11" t="n">
        <v>3.20835860053058</v>
      </c>
      <c r="BK21" s="11" t="n">
        <v>3.24634714066601</v>
      </c>
      <c r="BL21" s="11" t="n">
        <v>3.28209647921313</v>
      </c>
      <c r="BM21" s="11" t="n">
        <v>3.31774528016102</v>
      </c>
      <c r="BN21" s="11" t="n">
        <v>29.1295317927407</v>
      </c>
      <c r="BO21" s="11" t="n">
        <v>21.6946612371428</v>
      </c>
      <c r="BP21" s="11" t="n">
        <v>17.0105581207666</v>
      </c>
      <c r="BQ21" s="11" t="n">
        <v>15.1570700061554</v>
      </c>
    </row>
    <row r="22" customFormat="false" ht="13.8" hidden="false" customHeight="false" outlineLevel="0" collapsed="false">
      <c r="A22" s="11" t="s">
        <v>157</v>
      </c>
      <c r="B22" s="11" t="s">
        <v>138</v>
      </c>
      <c r="C22" s="11" t="s">
        <v>139</v>
      </c>
      <c r="D22" s="12"/>
      <c r="E22" s="11" t="n">
        <v>1.48366130882974</v>
      </c>
      <c r="F22" s="11" t="n">
        <v>1.24305334298279</v>
      </c>
      <c r="G22" s="11" t="n">
        <v>0.617640551647897</v>
      </c>
      <c r="H22" s="11" t="n">
        <v>0.538700846476154</v>
      </c>
      <c r="I22" s="11" t="n">
        <v>0.546409279966552</v>
      </c>
      <c r="J22" s="11" t="n">
        <v>0.533270281772293</v>
      </c>
      <c r="K22" s="11" t="n">
        <v>0.531928867885412</v>
      </c>
      <c r="L22" s="11" t="n">
        <v>0.446925644020109</v>
      </c>
      <c r="M22" s="11" t="n">
        <v>0.43528910732139</v>
      </c>
      <c r="N22" s="11" t="n">
        <v>0.412312802276656</v>
      </c>
      <c r="O22" s="11" t="n">
        <v>0.518621613064721</v>
      </c>
      <c r="P22" s="11" t="n">
        <v>0.432138729457178</v>
      </c>
      <c r="Q22" s="11" t="n">
        <v>0.364067786446409</v>
      </c>
      <c r="R22" s="11" t="n">
        <v>0.318513971049457</v>
      </c>
      <c r="S22" s="11" t="n">
        <v>0.402942811428177</v>
      </c>
      <c r="T22" s="11" t="n">
        <v>0.368307653921605</v>
      </c>
      <c r="U22" s="11" t="n">
        <v>0.369821205860997</v>
      </c>
      <c r="V22" s="11" t="n">
        <v>0.277694286963564</v>
      </c>
      <c r="W22" s="11" t="n">
        <v>0.255311612882481</v>
      </c>
      <c r="X22" s="11" t="n">
        <v>0.195240026958578</v>
      </c>
      <c r="Y22" s="11" t="n">
        <v>0.281496039558143</v>
      </c>
      <c r="Z22" s="11" t="n">
        <v>0.399303588048535</v>
      </c>
      <c r="AA22" s="11" t="n">
        <v>0.243138181819986</v>
      </c>
      <c r="AB22" s="11" t="n">
        <v>0.294217429839836</v>
      </c>
      <c r="AC22" s="11" t="n">
        <v>0.23782779605641</v>
      </c>
      <c r="AD22" s="11" t="n">
        <v>0.27442797543427</v>
      </c>
      <c r="AE22" s="11" t="n">
        <v>0.282656140525755</v>
      </c>
      <c r="AF22" s="11" t="n">
        <v>0.399670839674982</v>
      </c>
      <c r="AG22" s="11" t="n">
        <v>0.143010713300999</v>
      </c>
      <c r="AH22" s="11" t="n">
        <v>0.202358510131719</v>
      </c>
      <c r="AI22" s="11" t="n">
        <v>0.158297914028496</v>
      </c>
      <c r="AJ22" s="11" t="n">
        <v>0.194397699312559</v>
      </c>
      <c r="AK22" s="11" t="n">
        <v>0.151672562797158</v>
      </c>
      <c r="AL22" s="11" t="n">
        <v>0.145322964863698</v>
      </c>
      <c r="AM22" s="11" t="n">
        <v>0.157674757691205</v>
      </c>
      <c r="AN22" s="11" t="n">
        <v>0.157674757691205</v>
      </c>
      <c r="AO22" s="11" t="n">
        <v>0.157674757691205</v>
      </c>
      <c r="AP22" s="11" t="n">
        <v>0.157674757691205</v>
      </c>
      <c r="AQ22" s="11" t="n">
        <v>0.157674757691205</v>
      </c>
      <c r="AR22" s="11" t="n">
        <v>0.157674757691205</v>
      </c>
      <c r="AS22" s="11" t="n">
        <v>0.157674757691205</v>
      </c>
      <c r="AT22" s="11" t="n">
        <v>0.157674757691205</v>
      </c>
      <c r="AU22" s="11" t="n">
        <v>0.157674757691205</v>
      </c>
      <c r="AV22" s="11" t="n">
        <v>0.157674757691205</v>
      </c>
      <c r="AW22" s="11" t="n">
        <v>0.157674757691205</v>
      </c>
      <c r="AX22" s="11" t="n">
        <v>0.157674757691205</v>
      </c>
      <c r="AY22" s="11" t="n">
        <v>0.157674757691205</v>
      </c>
      <c r="AZ22" s="11" t="n">
        <v>0.157674757691205</v>
      </c>
      <c r="BA22" s="11" t="n">
        <v>0.157674757691205</v>
      </c>
      <c r="BB22" s="11" t="n">
        <v>0.157674757691205</v>
      </c>
      <c r="BC22" s="11" t="n">
        <v>0.157674757691205</v>
      </c>
      <c r="BD22" s="11" t="n">
        <v>0.157674757691205</v>
      </c>
      <c r="BE22" s="11" t="n">
        <v>0.157674757691205</v>
      </c>
      <c r="BF22" s="11" t="n">
        <v>0.157674757691205</v>
      </c>
      <c r="BG22" s="11" t="n">
        <v>0.157674757691205</v>
      </c>
      <c r="BH22" s="11" t="n">
        <v>0.157674757691205</v>
      </c>
      <c r="BI22" s="11" t="n">
        <v>0.157674757691205</v>
      </c>
      <c r="BJ22" s="11" t="n">
        <v>0.157674757691205</v>
      </c>
      <c r="BK22" s="11" t="n">
        <v>0.157674757691205</v>
      </c>
      <c r="BL22" s="11" t="n">
        <v>0.157674757691205</v>
      </c>
      <c r="BM22" s="11" t="n">
        <v>0.157674757691205</v>
      </c>
      <c r="BN22" s="11" t="n">
        <v>0.776021995628519</v>
      </c>
      <c r="BO22" s="11" t="n">
        <v>0.788373788456025</v>
      </c>
      <c r="BP22" s="11" t="n">
        <v>0.788373788456025</v>
      </c>
      <c r="BQ22" s="11" t="n">
        <v>0.788373788456025</v>
      </c>
    </row>
    <row r="23" customFormat="false" ht="13.8" hidden="false" customHeight="false" outlineLevel="0" collapsed="false">
      <c r="A23" s="11" t="s">
        <v>158</v>
      </c>
      <c r="B23" s="11" t="s">
        <v>138</v>
      </c>
      <c r="C23" s="11" t="s">
        <v>139</v>
      </c>
      <c r="D23" s="12"/>
      <c r="E23" s="11" t="n">
        <v>1.24291983149389</v>
      </c>
      <c r="F23" s="11" t="n">
        <v>1.3033380650546</v>
      </c>
      <c r="G23" s="11" t="n">
        <v>1.36957209756806</v>
      </c>
      <c r="H23" s="11" t="n">
        <v>1.19822362295174</v>
      </c>
      <c r="I23" s="11" t="n">
        <v>1.24424765770564</v>
      </c>
      <c r="J23" s="11" t="n">
        <v>1.29099147844553</v>
      </c>
      <c r="K23" s="11" t="n">
        <v>1.33841903033195</v>
      </c>
      <c r="L23" s="11" t="n">
        <v>1.31179173639896</v>
      </c>
      <c r="M23" s="11" t="n">
        <v>1.36070282137954</v>
      </c>
      <c r="N23" s="11" t="n">
        <v>1.53364172956695</v>
      </c>
      <c r="O23" s="11" t="n">
        <v>1.86203114027847</v>
      </c>
      <c r="P23" s="11" t="n">
        <v>1.47584681936645</v>
      </c>
      <c r="Q23" s="11" t="n">
        <v>1.51476662209972</v>
      </c>
      <c r="R23" s="11" t="n">
        <v>1.33398288885553</v>
      </c>
      <c r="S23" s="11" t="n">
        <v>1.12237909087011</v>
      </c>
      <c r="T23" s="11" t="n">
        <v>1.05689768072549</v>
      </c>
      <c r="U23" s="11" t="n">
        <v>0.875645821434384</v>
      </c>
      <c r="V23" s="11" t="n">
        <v>0.8315868666216</v>
      </c>
      <c r="W23" s="11" t="n">
        <v>0.670292526306523</v>
      </c>
      <c r="X23" s="11" t="n">
        <v>0.573575637388327</v>
      </c>
      <c r="Y23" s="11" t="n">
        <v>0.677275333999962</v>
      </c>
      <c r="Z23" s="11" t="n">
        <v>0.566450337664012</v>
      </c>
      <c r="AA23" s="11" t="n">
        <v>0.542274811410857</v>
      </c>
      <c r="AB23" s="11" t="n">
        <v>0.478647231455337</v>
      </c>
      <c r="AC23" s="11" t="n">
        <v>0.444232215587311</v>
      </c>
      <c r="AD23" s="11" t="n">
        <v>0.426418736992624</v>
      </c>
      <c r="AE23" s="11" t="n">
        <v>0.458386532676318</v>
      </c>
      <c r="AF23" s="11" t="n">
        <v>0.460093295564997</v>
      </c>
      <c r="AG23" s="11" t="n">
        <v>0.565037427403676</v>
      </c>
      <c r="AH23" s="11" t="n">
        <v>0.497196763554689</v>
      </c>
      <c r="AI23" s="11" t="n">
        <v>0.425406162786779</v>
      </c>
      <c r="AJ23" s="11" t="n">
        <v>0.38749956929647</v>
      </c>
      <c r="AK23" s="11" t="n">
        <v>0.333442729385777</v>
      </c>
      <c r="AL23" s="11" t="n">
        <v>0.301791676439176</v>
      </c>
      <c r="AM23" s="11" t="n">
        <v>0.307854862676676</v>
      </c>
      <c r="AN23" s="11" t="n">
        <v>0.314290204270114</v>
      </c>
      <c r="AO23" s="11" t="n">
        <v>0.320989403465887</v>
      </c>
      <c r="AP23" s="11" t="n">
        <v>0.327856082641555</v>
      </c>
      <c r="AQ23" s="11" t="n">
        <v>0.334894428796614</v>
      </c>
      <c r="AR23" s="11" t="n">
        <v>0.34210873360555</v>
      </c>
      <c r="AS23" s="11" t="n">
        <v>0.349503396034709</v>
      </c>
      <c r="AT23" s="11" t="n">
        <v>0.357082925024598</v>
      </c>
      <c r="AU23" s="11" t="n">
        <v>0.364851942239233</v>
      </c>
      <c r="AV23" s="11" t="n">
        <v>0.372815184884235</v>
      </c>
      <c r="AW23" s="11" t="n">
        <v>0.380977508595361</v>
      </c>
      <c r="AX23" s="11" t="n">
        <v>0.389343890399266</v>
      </c>
      <c r="AY23" s="11" t="n">
        <v>0.389343890399266</v>
      </c>
      <c r="AZ23" s="11" t="n">
        <v>0.389343890399266</v>
      </c>
      <c r="BA23" s="11" t="n">
        <v>0.389343890399266</v>
      </c>
      <c r="BB23" s="11" t="n">
        <v>0.389343890399266</v>
      </c>
      <c r="BC23" s="11" t="n">
        <v>0.389343890399266</v>
      </c>
      <c r="BD23" s="11" t="n">
        <v>0.389343890399266</v>
      </c>
      <c r="BE23" s="11" t="n">
        <v>0.389343890399266</v>
      </c>
      <c r="BF23" s="11" t="n">
        <v>0.389343890399266</v>
      </c>
      <c r="BG23" s="11" t="n">
        <v>0.389343890399266</v>
      </c>
      <c r="BH23" s="11" t="n">
        <v>0.389343890399266</v>
      </c>
      <c r="BI23" s="11" t="n">
        <v>0.389343890399266</v>
      </c>
      <c r="BJ23" s="11" t="n">
        <v>0.389343890399266</v>
      </c>
      <c r="BK23" s="11" t="n">
        <v>0.389343890399266</v>
      </c>
      <c r="BL23" s="11" t="n">
        <v>0.389343890399266</v>
      </c>
      <c r="BM23" s="11" t="n">
        <v>0.389343890399266</v>
      </c>
      <c r="BN23" s="11" t="n">
        <v>1.57278222949341</v>
      </c>
      <c r="BO23" s="11" t="n">
        <v>1.7484414257007</v>
      </c>
      <c r="BP23" s="11" t="n">
        <v>1.92182436467739</v>
      </c>
      <c r="BQ23" s="11" t="n">
        <v>1.94671945199633</v>
      </c>
    </row>
    <row r="24" customFormat="false" ht="13.8" hidden="false" customHeight="false" outlineLevel="0" collapsed="false">
      <c r="A24" s="11" t="s">
        <v>159</v>
      </c>
      <c r="B24" s="11" t="s">
        <v>138</v>
      </c>
      <c r="C24" s="11" t="s">
        <v>139</v>
      </c>
      <c r="D24" s="12"/>
      <c r="E24" s="11" t="n">
        <v>0.00010985408033557</v>
      </c>
      <c r="F24" s="11" t="n">
        <v>0.000130122158157483</v>
      </c>
      <c r="G24" s="11" t="n">
        <v>0.000154129696337539</v>
      </c>
      <c r="H24" s="11" t="n">
        <v>0.000182566625311815</v>
      </c>
      <c r="I24" s="11" t="n">
        <v>0.000216250167681844</v>
      </c>
      <c r="J24" s="11" t="n">
        <v>0.000256148323619145</v>
      </c>
      <c r="K24" s="11" t="n">
        <v>0.000303407689326877</v>
      </c>
      <c r="L24" s="11" t="n">
        <v>0.000359386408007685</v>
      </c>
      <c r="M24" s="11" t="n">
        <v>0.000413294369208839</v>
      </c>
      <c r="N24" s="11" t="n">
        <v>0.000475288524590164</v>
      </c>
      <c r="O24" s="11" t="n">
        <v>0.000546581803278689</v>
      </c>
      <c r="P24" s="11" t="n">
        <v>0.0003334149</v>
      </c>
      <c r="Q24" s="11" t="n">
        <v>0.000315667065</v>
      </c>
      <c r="R24" s="11" t="n">
        <v>0.000278092730755996</v>
      </c>
      <c r="S24" s="11" t="n">
        <v>0.000242880630310798</v>
      </c>
      <c r="T24" s="11" t="n">
        <v>0.000210030763664407</v>
      </c>
      <c r="U24" s="11" t="n">
        <v>0.000179543130816822</v>
      </c>
      <c r="V24" s="11" t="n">
        <v>0.000151417731768044</v>
      </c>
      <c r="W24" s="11" t="n">
        <v>0.000125654566518072</v>
      </c>
      <c r="X24" s="11" t="n">
        <v>0.000102253635066908</v>
      </c>
      <c r="Y24" s="11" t="n">
        <v>8.12149374145491E-005</v>
      </c>
      <c r="Z24" s="11" t="n">
        <v>7.29160376097755E-005</v>
      </c>
      <c r="AA24" s="11" t="n">
        <v>6.46171378050017E-005</v>
      </c>
      <c r="AB24" s="11" t="n">
        <v>5.63182380002279E-005</v>
      </c>
      <c r="AC24" s="11" t="n">
        <v>4.80193381954541E-005</v>
      </c>
      <c r="AD24" s="11" t="n">
        <v>3.97204383906805E-005</v>
      </c>
      <c r="AE24" s="11" t="n">
        <v>3.14215385859067E-005</v>
      </c>
      <c r="AF24" s="11" t="n">
        <v>2.65092764889187E-005</v>
      </c>
      <c r="AG24" s="11" t="n">
        <v>4.25164753911731E-005</v>
      </c>
      <c r="AH24" s="11" t="n">
        <v>4.67511840954731E-005</v>
      </c>
      <c r="AI24" s="11" t="n">
        <v>5.84389801193415E-005</v>
      </c>
      <c r="AJ24" s="11" t="n">
        <v>6.34359363904156E-005</v>
      </c>
      <c r="AK24" s="11" t="n">
        <v>6.34359363904156E-005</v>
      </c>
      <c r="AL24" s="11" t="n">
        <v>6.34359363904156E-005</v>
      </c>
      <c r="AM24" s="11" t="n">
        <v>6.34359363904156E-005</v>
      </c>
      <c r="AN24" s="11" t="n">
        <v>6.34359363904156E-005</v>
      </c>
      <c r="AO24" s="11" t="n">
        <v>6.34359363904156E-005</v>
      </c>
      <c r="AP24" s="11" t="n">
        <v>6.34359363904156E-005</v>
      </c>
      <c r="AQ24" s="11" t="n">
        <v>6.34359363904156E-005</v>
      </c>
      <c r="AR24" s="11" t="n">
        <v>6.34359363904156E-005</v>
      </c>
      <c r="AS24" s="11" t="n">
        <v>6.34359363904156E-005</v>
      </c>
      <c r="AT24" s="11" t="n">
        <v>6.34359363904156E-005</v>
      </c>
      <c r="AU24" s="11" t="n">
        <v>6.34359363904156E-005</v>
      </c>
      <c r="AV24" s="11" t="n">
        <v>6.34359363904156E-005</v>
      </c>
      <c r="AW24" s="11" t="n">
        <v>6.34359363904156E-005</v>
      </c>
      <c r="AX24" s="11" t="n">
        <v>6.34359363904156E-005</v>
      </c>
      <c r="AY24" s="11" t="n">
        <v>6.34359363904156E-005</v>
      </c>
      <c r="AZ24" s="11" t="n">
        <v>6.34359363904156E-005</v>
      </c>
      <c r="BA24" s="11" t="n">
        <v>6.34359363904156E-005</v>
      </c>
      <c r="BB24" s="11" t="n">
        <v>6.34359363904156E-005</v>
      </c>
      <c r="BC24" s="11" t="n">
        <v>6.34359363904156E-005</v>
      </c>
      <c r="BD24" s="11" t="n">
        <v>6.34359363904156E-005</v>
      </c>
      <c r="BE24" s="11" t="n">
        <v>6.34359363904156E-005</v>
      </c>
      <c r="BF24" s="11" t="n">
        <v>6.34359363904156E-005</v>
      </c>
      <c r="BG24" s="11" t="n">
        <v>6.34359363904156E-005</v>
      </c>
      <c r="BH24" s="11" t="n">
        <v>6.34359363904156E-005</v>
      </c>
      <c r="BI24" s="11" t="n">
        <v>6.34359363904156E-005</v>
      </c>
      <c r="BJ24" s="11" t="n">
        <v>6.34359363904156E-005</v>
      </c>
      <c r="BK24" s="11" t="n">
        <v>6.34359363904156E-005</v>
      </c>
      <c r="BL24" s="11" t="n">
        <v>6.34359363904156E-005</v>
      </c>
      <c r="BM24" s="11" t="n">
        <v>6.34359363904156E-005</v>
      </c>
      <c r="BN24" s="11" t="n">
        <v>0.000317179681952078</v>
      </c>
      <c r="BO24" s="11" t="n">
        <v>0.000317179681952078</v>
      </c>
      <c r="BP24" s="11" t="n">
        <v>0.000317179681952078</v>
      </c>
      <c r="BQ24" s="11" t="n">
        <v>0.000317179681952078</v>
      </c>
    </row>
    <row r="25" customFormat="false" ht="35" hidden="false" customHeight="true" outlineLevel="0" collapsed="false">
      <c r="A25" s="11" t="s">
        <v>153</v>
      </c>
      <c r="B25" s="11" t="s">
        <v>140</v>
      </c>
      <c r="C25" s="11" t="s">
        <v>139</v>
      </c>
      <c r="D25" s="12"/>
      <c r="E25" s="11" t="n">
        <v>626.74127603061</v>
      </c>
      <c r="F25" s="11" t="n">
        <v>633.41009319712</v>
      </c>
      <c r="G25" s="11" t="n">
        <v>618.712003315911</v>
      </c>
      <c r="H25" s="11" t="n">
        <v>605.008449991875</v>
      </c>
      <c r="I25" s="11" t="n">
        <v>598.957246378192</v>
      </c>
      <c r="J25" s="11" t="n">
        <v>592.755846340605</v>
      </c>
      <c r="K25" s="11" t="n">
        <v>614.153580461247</v>
      </c>
      <c r="L25" s="11" t="n">
        <v>592.38182984039</v>
      </c>
      <c r="M25" s="11" t="n">
        <v>599.520841403738</v>
      </c>
      <c r="N25" s="11" t="n">
        <v>592.134721881794</v>
      </c>
      <c r="O25" s="11" t="n">
        <v>601.736275058671</v>
      </c>
      <c r="P25" s="11" t="n">
        <v>610.416946742664</v>
      </c>
      <c r="Q25" s="11" t="n">
        <v>590.586540392035</v>
      </c>
      <c r="R25" s="11" t="n">
        <v>601.516918179149</v>
      </c>
      <c r="S25" s="11" t="n">
        <v>606.732146221425</v>
      </c>
      <c r="T25" s="11" t="n">
        <v>605.564376644162</v>
      </c>
      <c r="U25" s="11" t="n">
        <v>604.236754725553</v>
      </c>
      <c r="V25" s="11" t="n">
        <v>594.955034919507</v>
      </c>
      <c r="W25" s="11" t="n">
        <v>582.89495484972</v>
      </c>
      <c r="X25" s="11" t="n">
        <v>530.466940415707</v>
      </c>
      <c r="Y25" s="11" t="n">
        <v>547.044868464097</v>
      </c>
      <c r="Z25" s="11" t="n">
        <v>505.861852418604</v>
      </c>
      <c r="AA25" s="11" t="n">
        <v>521.856340955767</v>
      </c>
      <c r="AB25" s="11" t="n">
        <v>514.457849500392</v>
      </c>
      <c r="AC25" s="11" t="n">
        <v>473.045015352263</v>
      </c>
      <c r="AD25" s="11" t="n">
        <v>454.135277017503</v>
      </c>
      <c r="AE25" s="11" t="n">
        <v>431.653154166264</v>
      </c>
      <c r="AF25" s="11" t="n">
        <v>421.582477423981</v>
      </c>
      <c r="AG25" s="11" t="n">
        <v>415.454001659022</v>
      </c>
      <c r="AH25" s="11" t="n">
        <v>398.585685144377</v>
      </c>
      <c r="AI25" s="11" t="n">
        <v>341.488405841585</v>
      </c>
      <c r="AJ25" s="11" t="n">
        <v>356.234922004987</v>
      </c>
      <c r="AK25" s="11" t="n">
        <v>355.115472816986</v>
      </c>
      <c r="AL25" s="11" t="n">
        <v>341.934148529255</v>
      </c>
      <c r="AM25" s="11" t="n">
        <v>333.205764375449</v>
      </c>
      <c r="AN25" s="11" t="n">
        <v>326.140817993984</v>
      </c>
      <c r="AO25" s="11" t="n">
        <v>318.794143810896</v>
      </c>
      <c r="AP25" s="11" t="n">
        <v>312.510675955182</v>
      </c>
      <c r="AQ25" s="11" t="n">
        <v>305.479482560661</v>
      </c>
      <c r="AR25" s="11" t="n">
        <v>301.363595758164</v>
      </c>
      <c r="AS25" s="11" t="n">
        <v>295.020734033924</v>
      </c>
      <c r="AT25" s="11" t="n">
        <v>288.938410271765</v>
      </c>
      <c r="AU25" s="11" t="n">
        <v>284.016447245465</v>
      </c>
      <c r="AV25" s="11" t="n">
        <v>279.204450874311</v>
      </c>
      <c r="AW25" s="11" t="n">
        <v>275.64509621608</v>
      </c>
      <c r="AX25" s="11" t="n">
        <v>274.722941822814</v>
      </c>
      <c r="AY25" s="11" t="n">
        <v>271.921451897714</v>
      </c>
      <c r="AZ25" s="11" t="n">
        <v>270.228739270273</v>
      </c>
      <c r="BA25" s="11" t="n">
        <v>268.278900609446</v>
      </c>
      <c r="BB25" s="11" t="n">
        <v>266.591915879854</v>
      </c>
      <c r="BC25" s="11" t="n">
        <v>265.666112271665</v>
      </c>
      <c r="BD25" s="11" t="n">
        <v>266.161098230675</v>
      </c>
      <c r="BE25" s="11" t="n">
        <v>266.977522477582</v>
      </c>
      <c r="BF25" s="11" t="n">
        <v>267.366209455692</v>
      </c>
      <c r="BG25" s="11" t="n">
        <v>267.982980440367</v>
      </c>
      <c r="BH25" s="11" t="n">
        <v>267.738223725983</v>
      </c>
      <c r="BI25" s="11" t="n">
        <v>268.297890467199</v>
      </c>
      <c r="BJ25" s="11" t="n">
        <v>268.721965240062</v>
      </c>
      <c r="BK25" s="11" t="n">
        <v>270.305580134162</v>
      </c>
      <c r="BL25" s="11" t="n">
        <v>267.670270046195</v>
      </c>
      <c r="BM25" s="11" t="n">
        <v>265.321423742692</v>
      </c>
      <c r="BN25" s="11" t="n">
        <v>1632.58555066476</v>
      </c>
      <c r="BO25" s="11" t="n">
        <v>1474.81866986998</v>
      </c>
      <c r="BP25" s="11" t="n">
        <v>1371.72268008119</v>
      </c>
      <c r="BQ25" s="11" t="n">
        <v>1333.67554946922</v>
      </c>
    </row>
    <row r="26" customFormat="false" ht="13.8" hidden="false" customHeight="false" outlineLevel="0" collapsed="false">
      <c r="A26" s="11" t="s">
        <v>154</v>
      </c>
      <c r="B26" s="11" t="s">
        <v>140</v>
      </c>
      <c r="C26" s="11" t="s">
        <v>139</v>
      </c>
      <c r="D26" s="12"/>
      <c r="E26" s="11" t="n">
        <v>148.527298002034</v>
      </c>
      <c r="F26" s="11" t="n">
        <v>149.533858246148</v>
      </c>
      <c r="G26" s="11" t="n">
        <v>149.344798809978</v>
      </c>
      <c r="H26" s="11" t="n">
        <v>147.849868527015</v>
      </c>
      <c r="I26" s="11" t="n">
        <v>140.220832717652</v>
      </c>
      <c r="J26" s="11" t="n">
        <v>141.62570447565</v>
      </c>
      <c r="K26" s="11" t="n">
        <v>141.138614388232</v>
      </c>
      <c r="L26" s="11" t="n">
        <v>138.524436182828</v>
      </c>
      <c r="M26" s="11" t="n">
        <v>135.462212228555</v>
      </c>
      <c r="N26" s="11" t="n">
        <v>129.859065263225</v>
      </c>
      <c r="O26" s="11" t="n">
        <v>123.920486839629</v>
      </c>
      <c r="P26" s="11" t="n">
        <v>118.64001130189</v>
      </c>
      <c r="Q26" s="11" t="n">
        <v>116.77678020067</v>
      </c>
      <c r="R26" s="11" t="n">
        <v>111.853160224235</v>
      </c>
      <c r="S26" s="11" t="n">
        <v>107.033936822039</v>
      </c>
      <c r="T26" s="11" t="n">
        <v>102.664117491926</v>
      </c>
      <c r="U26" s="11" t="n">
        <v>99.2297893209561</v>
      </c>
      <c r="V26" s="11" t="n">
        <v>94.7753153178419</v>
      </c>
      <c r="W26" s="11" t="n">
        <v>88.4981359307023</v>
      </c>
      <c r="X26" s="11" t="n">
        <v>83.9244036183387</v>
      </c>
      <c r="Y26" s="11" t="n">
        <v>78.667322755185</v>
      </c>
      <c r="Z26" s="11" t="n">
        <v>75.6712751364843</v>
      </c>
      <c r="AA26" s="11" t="n">
        <v>73.8280122064821</v>
      </c>
      <c r="AB26" s="11" t="n">
        <v>68.9801770117071</v>
      </c>
      <c r="AC26" s="11" t="n">
        <v>66.682108693293</v>
      </c>
      <c r="AD26" s="11" t="n">
        <v>65.4783580021182</v>
      </c>
      <c r="AE26" s="11" t="n">
        <v>63.0801894570004</v>
      </c>
      <c r="AF26" s="11" t="n">
        <v>63.35861040571</v>
      </c>
      <c r="AG26" s="11" t="n">
        <v>62.7602337118585</v>
      </c>
      <c r="AH26" s="11" t="n">
        <v>62.4134940187284</v>
      </c>
      <c r="AI26" s="11" t="n">
        <v>59.9984424095153</v>
      </c>
      <c r="AJ26" s="11" t="n">
        <v>58.7276734594612</v>
      </c>
      <c r="AK26" s="11" t="n">
        <v>58.0898467243932</v>
      </c>
      <c r="AL26" s="11" t="n">
        <v>57.0200585910277</v>
      </c>
      <c r="AM26" s="11" t="n">
        <v>55.5172727235413</v>
      </c>
      <c r="AN26" s="11" t="n">
        <v>54.6944630585967</v>
      </c>
      <c r="AO26" s="11" t="n">
        <v>54.027993509388</v>
      </c>
      <c r="AP26" s="11" t="n">
        <v>54.629892799467</v>
      </c>
      <c r="AQ26" s="11" t="n">
        <v>53.8742792956905</v>
      </c>
      <c r="AR26" s="11" t="n">
        <v>53.2623810803682</v>
      </c>
      <c r="AS26" s="11" t="n">
        <v>52.6004027702647</v>
      </c>
      <c r="AT26" s="11" t="n">
        <v>51.9422056452275</v>
      </c>
      <c r="AU26" s="11" t="n">
        <v>51.2538616261958</v>
      </c>
      <c r="AV26" s="11" t="n">
        <v>50.616968581597</v>
      </c>
      <c r="AW26" s="11" t="n">
        <v>50.0556247621914</v>
      </c>
      <c r="AX26" s="11" t="n">
        <v>49.4554677025088</v>
      </c>
      <c r="AY26" s="11" t="n">
        <v>48.8479044554735</v>
      </c>
      <c r="AZ26" s="11" t="n">
        <v>48.2338040535888</v>
      </c>
      <c r="BA26" s="11" t="n">
        <v>47.6694279778665</v>
      </c>
      <c r="BB26" s="11" t="n">
        <v>47.117528555248</v>
      </c>
      <c r="BC26" s="11" t="n">
        <v>46.5868074147919</v>
      </c>
      <c r="BD26" s="11" t="n">
        <v>46.0657235508906</v>
      </c>
      <c r="BE26" s="11" t="n">
        <v>45.5790913076382</v>
      </c>
      <c r="BF26" s="11" t="n">
        <v>45.1756742706378</v>
      </c>
      <c r="BG26" s="11" t="n">
        <v>44.7970693072339</v>
      </c>
      <c r="BH26" s="11" t="n">
        <v>44.3406382817927</v>
      </c>
      <c r="BI26" s="11" t="n">
        <v>43.9081199253542</v>
      </c>
      <c r="BJ26" s="11" t="n">
        <v>43.4894234565918</v>
      </c>
      <c r="BK26" s="11" t="n">
        <v>43.0673996528267</v>
      </c>
      <c r="BL26" s="11" t="n">
        <v>42.6555709558109</v>
      </c>
      <c r="BM26" s="11" t="n">
        <v>42.1888542206504</v>
      </c>
      <c r="BN26" s="11" t="n">
        <v>275.889680682021</v>
      </c>
      <c r="BO26" s="11" t="n">
        <v>262.933130417747</v>
      </c>
      <c r="BP26" s="11" t="n">
        <v>247.20976955536</v>
      </c>
      <c r="BQ26" s="11" t="n">
        <v>233.018578806435</v>
      </c>
    </row>
    <row r="27" customFormat="false" ht="13.8" hidden="false" customHeight="false" outlineLevel="0" collapsed="false">
      <c r="A27" s="11" t="s">
        <v>155</v>
      </c>
      <c r="B27" s="11" t="s">
        <v>140</v>
      </c>
      <c r="C27" s="11" t="s">
        <v>139</v>
      </c>
      <c r="D27" s="12"/>
      <c r="E27" s="11" t="n">
        <v>44.3002234775335</v>
      </c>
      <c r="F27" s="11" t="n">
        <v>44.4052277252299</v>
      </c>
      <c r="G27" s="11" t="n">
        <v>39.9378274497615</v>
      </c>
      <c r="H27" s="11" t="n">
        <v>36.1377812173721</v>
      </c>
      <c r="I27" s="11" t="n">
        <v>36.733575590136</v>
      </c>
      <c r="J27" s="11" t="n">
        <v>35.5262647513158</v>
      </c>
      <c r="K27" s="11" t="n">
        <v>35.5202840220702</v>
      </c>
      <c r="L27" s="11" t="n">
        <v>35.7888793937191</v>
      </c>
      <c r="M27" s="11" t="n">
        <v>35.8446693081236</v>
      </c>
      <c r="N27" s="11" t="n">
        <v>27.2931949805531</v>
      </c>
      <c r="O27" s="11" t="n">
        <v>26.7745080049932</v>
      </c>
      <c r="P27" s="11" t="n">
        <v>25.5332295216333</v>
      </c>
      <c r="Q27" s="11" t="n">
        <v>24.0080781455952</v>
      </c>
      <c r="R27" s="11" t="n">
        <v>23.6493473576149</v>
      </c>
      <c r="S27" s="11" t="n">
        <v>24.1732056787632</v>
      </c>
      <c r="T27" s="11" t="n">
        <v>23.2738708129377</v>
      </c>
      <c r="U27" s="11" t="n">
        <v>22.3723859735233</v>
      </c>
      <c r="V27" s="11" t="n">
        <v>22.3871776205365</v>
      </c>
      <c r="W27" s="11" t="n">
        <v>21.8687745509561</v>
      </c>
      <c r="X27" s="11" t="n">
        <v>20.4093851389545</v>
      </c>
      <c r="Y27" s="11" t="n">
        <v>20.850592457761</v>
      </c>
      <c r="Z27" s="11" t="n">
        <v>20.1180492670757</v>
      </c>
      <c r="AA27" s="11" t="n">
        <v>20.0301007556531</v>
      </c>
      <c r="AB27" s="11" t="n">
        <v>20.07578522778</v>
      </c>
      <c r="AC27" s="11" t="n">
        <v>20.5757861988295</v>
      </c>
      <c r="AD27" s="11" t="n">
        <v>20.4522889297316</v>
      </c>
      <c r="AE27" s="11" t="n">
        <v>20.0055547697638</v>
      </c>
      <c r="AF27" s="11" t="n">
        <v>20.2878791430464</v>
      </c>
      <c r="AG27" s="11" t="n">
        <v>20.1618254992518</v>
      </c>
      <c r="AH27" s="11" t="n">
        <v>20.2029843423827</v>
      </c>
      <c r="AI27" s="11" t="n">
        <v>18.9789878158805</v>
      </c>
      <c r="AJ27" s="11" t="n">
        <v>19.343581552368</v>
      </c>
      <c r="AK27" s="11" t="n">
        <v>18.5808205022007</v>
      </c>
      <c r="AL27" s="11" t="n">
        <v>18.4485657982639</v>
      </c>
      <c r="AM27" s="11" t="n">
        <v>18.7553341449773</v>
      </c>
      <c r="AN27" s="11" t="n">
        <v>18.7358497507516</v>
      </c>
      <c r="AO27" s="11" t="n">
        <v>18.715174358814</v>
      </c>
      <c r="AP27" s="11" t="n">
        <v>18.6708417954925</v>
      </c>
      <c r="AQ27" s="11" t="n">
        <v>18.5398310119726</v>
      </c>
      <c r="AR27" s="11" t="n">
        <v>18.5159707739275</v>
      </c>
      <c r="AS27" s="11" t="n">
        <v>18.4403799422769</v>
      </c>
      <c r="AT27" s="11" t="n">
        <v>18.3615961304776</v>
      </c>
      <c r="AU27" s="11" t="n">
        <v>18.2191940845121</v>
      </c>
      <c r="AV27" s="11" t="n">
        <v>18.1265854887731</v>
      </c>
      <c r="AW27" s="11" t="n">
        <v>18.0502065342748</v>
      </c>
      <c r="AX27" s="11" t="n">
        <v>17.9448289968633</v>
      </c>
      <c r="AY27" s="11" t="n">
        <v>17.8400399317361</v>
      </c>
      <c r="AZ27" s="11" t="n">
        <v>17.6532283160364</v>
      </c>
      <c r="BA27" s="11" t="n">
        <v>17.5792180336715</v>
      </c>
      <c r="BB27" s="11" t="n">
        <v>17.4979685133693</v>
      </c>
      <c r="BC27" s="11" t="n">
        <v>17.4223417870949</v>
      </c>
      <c r="BD27" s="11" t="n">
        <v>17.3458492000938</v>
      </c>
      <c r="BE27" s="11" t="n">
        <v>17.2758259569124</v>
      </c>
      <c r="BF27" s="11" t="n">
        <v>17.217910379098</v>
      </c>
      <c r="BG27" s="11" t="n">
        <v>17.1625849135474</v>
      </c>
      <c r="BH27" s="11" t="n">
        <v>17.1055032971791</v>
      </c>
      <c r="BI27" s="11" t="n">
        <v>17.0533948226861</v>
      </c>
      <c r="BJ27" s="11" t="n">
        <v>16.998176027739</v>
      </c>
      <c r="BK27" s="11" t="n">
        <v>16.9477897550303</v>
      </c>
      <c r="BL27" s="11" t="n">
        <v>16.8882563270993</v>
      </c>
      <c r="BM27" s="11" t="n">
        <v>16.8348435331902</v>
      </c>
      <c r="BN27" s="11" t="n">
        <v>93.3257658482993</v>
      </c>
      <c r="BO27" s="11" t="n">
        <v>92.0769719431666</v>
      </c>
      <c r="BP27" s="11" t="n">
        <v>89.6148892676836</v>
      </c>
      <c r="BQ27" s="11" t="n">
        <v>87.1212034911418</v>
      </c>
    </row>
    <row r="28" customFormat="false" ht="13.8" hidden="false" customHeight="false" outlineLevel="0" collapsed="false">
      <c r="A28" s="11" t="s">
        <v>156</v>
      </c>
      <c r="B28" s="11" t="s">
        <v>140</v>
      </c>
      <c r="C28" s="11" t="s">
        <v>139</v>
      </c>
      <c r="D28" s="12"/>
      <c r="E28" s="11" t="n">
        <v>12.0611019747843</v>
      </c>
      <c r="F28" s="11" t="n">
        <v>12.560947045067</v>
      </c>
      <c r="G28" s="11" t="n">
        <v>13.0608970765087</v>
      </c>
      <c r="H28" s="11" t="n">
        <v>13.7022535833677</v>
      </c>
      <c r="I28" s="11" t="n">
        <v>14.4551323986846</v>
      </c>
      <c r="J28" s="11" t="n">
        <v>15.4861113158081</v>
      </c>
      <c r="K28" s="11" t="n">
        <v>16.2087931058098</v>
      </c>
      <c r="L28" s="11" t="n">
        <v>18.0172093465266</v>
      </c>
      <c r="M28" s="11" t="n">
        <v>14.9080963382235</v>
      </c>
      <c r="N28" s="11" t="n">
        <v>7.96186376934351</v>
      </c>
      <c r="O28" s="11" t="n">
        <v>6.36046479715616</v>
      </c>
      <c r="P28" s="11" t="n">
        <v>7.05228750474409</v>
      </c>
      <c r="Q28" s="11" t="n">
        <v>7.4688138300499</v>
      </c>
      <c r="R28" s="11" t="n">
        <v>8.25870624154292</v>
      </c>
      <c r="S28" s="11" t="n">
        <v>7.36937772653388</v>
      </c>
      <c r="T28" s="11" t="n">
        <v>8.09555591302204</v>
      </c>
      <c r="U28" s="11" t="n">
        <v>8.88703175483168</v>
      </c>
      <c r="V28" s="11" t="n">
        <v>9.24213661121651</v>
      </c>
      <c r="W28" s="11" t="n">
        <v>9.58107153266835</v>
      </c>
      <c r="X28" s="11" t="n">
        <v>10.0020094196355</v>
      </c>
      <c r="Y28" s="11" t="n">
        <v>10.4979550302192</v>
      </c>
      <c r="Z28" s="11" t="n">
        <v>11.0654107151362</v>
      </c>
      <c r="AA28" s="11" t="n">
        <v>11.5161328830887</v>
      </c>
      <c r="AB28" s="11" t="n">
        <v>11.6114703501195</v>
      </c>
      <c r="AC28" s="11" t="n">
        <v>11.1356108294494</v>
      </c>
      <c r="AD28" s="11" t="n">
        <v>10.9498065093755</v>
      </c>
      <c r="AE28" s="11" t="n">
        <v>10.614142394623</v>
      </c>
      <c r="AF28" s="11" t="n">
        <v>10.121289044966</v>
      </c>
      <c r="AG28" s="11" t="n">
        <v>9.66952181906882</v>
      </c>
      <c r="AH28" s="11" t="n">
        <v>8.98580877911218</v>
      </c>
      <c r="AI28" s="11" t="n">
        <v>8.15976812106435</v>
      </c>
      <c r="AJ28" s="11" t="n">
        <v>7.58436627904264</v>
      </c>
      <c r="AK28" s="11" t="n">
        <v>7.06898863688573</v>
      </c>
      <c r="AL28" s="11" t="n">
        <v>6.59748890429982</v>
      </c>
      <c r="AM28" s="11" t="n">
        <v>6.14657126839515</v>
      </c>
      <c r="AN28" s="11" t="n">
        <v>5.78995641676736</v>
      </c>
      <c r="AO28" s="11" t="n">
        <v>5.45582110094931</v>
      </c>
      <c r="AP28" s="11" t="n">
        <v>5.13969410232909</v>
      </c>
      <c r="AQ28" s="11" t="n">
        <v>4.83421727365179</v>
      </c>
      <c r="AR28" s="11" t="n">
        <v>4.55598570157372</v>
      </c>
      <c r="AS28" s="11" t="n">
        <v>4.31470265813777</v>
      </c>
      <c r="AT28" s="11" t="n">
        <v>4.09884472060177</v>
      </c>
      <c r="AU28" s="11" t="n">
        <v>3.89091088317771</v>
      </c>
      <c r="AV28" s="11" t="n">
        <v>3.70734813175856</v>
      </c>
      <c r="AW28" s="11" t="n">
        <v>3.53638632023551</v>
      </c>
      <c r="AX28" s="11" t="n">
        <v>3.38044042697566</v>
      </c>
      <c r="AY28" s="11" t="n">
        <v>3.24624656805012</v>
      </c>
      <c r="AZ28" s="11" t="n">
        <v>3.14013667374679</v>
      </c>
      <c r="BA28" s="11" t="n">
        <v>3.06190005083167</v>
      </c>
      <c r="BB28" s="11" t="n">
        <v>3.0277117596006</v>
      </c>
      <c r="BC28" s="11" t="n">
        <v>3.01583177269943</v>
      </c>
      <c r="BD28" s="11" t="n">
        <v>3.01833912244435</v>
      </c>
      <c r="BE28" s="11" t="n">
        <v>3.03328730057938</v>
      </c>
      <c r="BF28" s="11" t="n">
        <v>3.05775648539493</v>
      </c>
      <c r="BG28" s="11" t="n">
        <v>3.08999621719718</v>
      </c>
      <c r="BH28" s="11" t="n">
        <v>3.12816469439176</v>
      </c>
      <c r="BI28" s="11" t="n">
        <v>3.16835087322069</v>
      </c>
      <c r="BJ28" s="11" t="n">
        <v>3.20835860053058</v>
      </c>
      <c r="BK28" s="11" t="n">
        <v>3.24634714066601</v>
      </c>
      <c r="BL28" s="11" t="n">
        <v>3.28209647921313</v>
      </c>
      <c r="BM28" s="11" t="n">
        <v>3.31774528016102</v>
      </c>
      <c r="BN28" s="11" t="n">
        <v>29.1295317927407</v>
      </c>
      <c r="BO28" s="11" t="n">
        <v>21.6946612371428</v>
      </c>
      <c r="BP28" s="11" t="n">
        <v>17.0105581207666</v>
      </c>
      <c r="BQ28" s="11" t="n">
        <v>15.1570700061554</v>
      </c>
    </row>
    <row r="29" customFormat="false" ht="13.8" hidden="false" customHeight="false" outlineLevel="0" collapsed="false">
      <c r="A29" s="11" t="s">
        <v>157</v>
      </c>
      <c r="B29" s="11" t="s">
        <v>140</v>
      </c>
      <c r="C29" s="11" t="s">
        <v>139</v>
      </c>
      <c r="D29" s="12"/>
      <c r="E29" s="11" t="n">
        <v>1.48366130882974</v>
      </c>
      <c r="F29" s="11" t="n">
        <v>1.24305334298279</v>
      </c>
      <c r="G29" s="11" t="n">
        <v>0.617640551647897</v>
      </c>
      <c r="H29" s="11" t="n">
        <v>0.538700846476154</v>
      </c>
      <c r="I29" s="11" t="n">
        <v>0.546409279966552</v>
      </c>
      <c r="J29" s="11" t="n">
        <v>0.533270281772293</v>
      </c>
      <c r="K29" s="11" t="n">
        <v>0.531928867885412</v>
      </c>
      <c r="L29" s="11" t="n">
        <v>0.446925644020109</v>
      </c>
      <c r="M29" s="11" t="n">
        <v>0.43528910732139</v>
      </c>
      <c r="N29" s="11" t="n">
        <v>0.412312802276656</v>
      </c>
      <c r="O29" s="11" t="n">
        <v>0.518621613064721</v>
      </c>
      <c r="P29" s="11" t="n">
        <v>0.432138729457178</v>
      </c>
      <c r="Q29" s="11" t="n">
        <v>0.364067786446409</v>
      </c>
      <c r="R29" s="11" t="n">
        <v>0.318513971049457</v>
      </c>
      <c r="S29" s="11" t="n">
        <v>0.402942811428177</v>
      </c>
      <c r="T29" s="11" t="n">
        <v>0.368307653921605</v>
      </c>
      <c r="U29" s="11" t="n">
        <v>0.369821205860997</v>
      </c>
      <c r="V29" s="11" t="n">
        <v>0.277694286963564</v>
      </c>
      <c r="W29" s="11" t="n">
        <v>0.255311612882481</v>
      </c>
      <c r="X29" s="11" t="n">
        <v>0.195240026958578</v>
      </c>
      <c r="Y29" s="11" t="n">
        <v>0.281496039558143</v>
      </c>
      <c r="Z29" s="11" t="n">
        <v>0.399303588048535</v>
      </c>
      <c r="AA29" s="11" t="n">
        <v>0.243138181819986</v>
      </c>
      <c r="AB29" s="11" t="n">
        <v>0.294217429839836</v>
      </c>
      <c r="AC29" s="11" t="n">
        <v>0.23782779605641</v>
      </c>
      <c r="AD29" s="11" t="n">
        <v>0.27442797543427</v>
      </c>
      <c r="AE29" s="11" t="n">
        <v>0.282656140525755</v>
      </c>
      <c r="AF29" s="11" t="n">
        <v>0.399670839674982</v>
      </c>
      <c r="AG29" s="11" t="n">
        <v>0.143010713300999</v>
      </c>
      <c r="AH29" s="11" t="n">
        <v>0.202358510131719</v>
      </c>
      <c r="AI29" s="11" t="n">
        <v>0.158297914028496</v>
      </c>
      <c r="AJ29" s="11" t="n">
        <v>0.194397699312559</v>
      </c>
      <c r="AK29" s="11" t="n">
        <v>0.151672562797158</v>
      </c>
      <c r="AL29" s="11" t="n">
        <v>0.145322964863698</v>
      </c>
      <c r="AM29" s="11" t="n">
        <v>0.157674757691205</v>
      </c>
      <c r="AN29" s="11" t="n">
        <v>0.157674757691205</v>
      </c>
      <c r="AO29" s="11" t="n">
        <v>0.157674757691205</v>
      </c>
      <c r="AP29" s="11" t="n">
        <v>0.157674757691205</v>
      </c>
      <c r="AQ29" s="11" t="n">
        <v>0.157674757691205</v>
      </c>
      <c r="AR29" s="11" t="n">
        <v>0.157674757691205</v>
      </c>
      <c r="AS29" s="11" t="n">
        <v>0.157674757691205</v>
      </c>
      <c r="AT29" s="11" t="n">
        <v>0.157674757691205</v>
      </c>
      <c r="AU29" s="11" t="n">
        <v>0.157674757691205</v>
      </c>
      <c r="AV29" s="11" t="n">
        <v>0.157674757691205</v>
      </c>
      <c r="AW29" s="11" t="n">
        <v>0.157674757691205</v>
      </c>
      <c r="AX29" s="11" t="n">
        <v>0.157674757691205</v>
      </c>
      <c r="AY29" s="11" t="n">
        <v>0.157674757691205</v>
      </c>
      <c r="AZ29" s="11" t="n">
        <v>0.157674757691205</v>
      </c>
      <c r="BA29" s="11" t="n">
        <v>0.157674757691205</v>
      </c>
      <c r="BB29" s="11" t="n">
        <v>0.157674757691205</v>
      </c>
      <c r="BC29" s="11" t="n">
        <v>0.157674757691205</v>
      </c>
      <c r="BD29" s="11" t="n">
        <v>0.157674757691205</v>
      </c>
      <c r="BE29" s="11" t="n">
        <v>0.157674757691205</v>
      </c>
      <c r="BF29" s="11" t="n">
        <v>0.157674757691205</v>
      </c>
      <c r="BG29" s="11" t="n">
        <v>0.157674757691205</v>
      </c>
      <c r="BH29" s="11" t="n">
        <v>0.157674757691205</v>
      </c>
      <c r="BI29" s="11" t="n">
        <v>0.157674757691205</v>
      </c>
      <c r="BJ29" s="11" t="n">
        <v>0.157674757691205</v>
      </c>
      <c r="BK29" s="11" t="n">
        <v>0.157674757691205</v>
      </c>
      <c r="BL29" s="11" t="n">
        <v>0.157674757691205</v>
      </c>
      <c r="BM29" s="11" t="n">
        <v>0.157674757691205</v>
      </c>
      <c r="BN29" s="11" t="n">
        <v>0.776021995628519</v>
      </c>
      <c r="BO29" s="11" t="n">
        <v>0.788373788456025</v>
      </c>
      <c r="BP29" s="11" t="n">
        <v>0.788373788456025</v>
      </c>
      <c r="BQ29" s="11" t="n">
        <v>0.788373788456025</v>
      </c>
    </row>
    <row r="30" customFormat="false" ht="13.8" hidden="false" customHeight="false" outlineLevel="0" collapsed="false">
      <c r="A30" s="11" t="s">
        <v>158</v>
      </c>
      <c r="B30" s="11" t="s">
        <v>140</v>
      </c>
      <c r="C30" s="11" t="s">
        <v>139</v>
      </c>
      <c r="D30" s="12"/>
      <c r="E30" s="11" t="n">
        <v>1.24291983149389</v>
      </c>
      <c r="F30" s="11" t="n">
        <v>1.3033380650546</v>
      </c>
      <c r="G30" s="11" t="n">
        <v>1.36957209756806</v>
      </c>
      <c r="H30" s="11" t="n">
        <v>1.19822362295174</v>
      </c>
      <c r="I30" s="11" t="n">
        <v>1.24424765770564</v>
      </c>
      <c r="J30" s="11" t="n">
        <v>1.29099147844553</v>
      </c>
      <c r="K30" s="11" t="n">
        <v>1.33841903033195</v>
      </c>
      <c r="L30" s="11" t="n">
        <v>1.31179173639896</v>
      </c>
      <c r="M30" s="11" t="n">
        <v>1.36070282137954</v>
      </c>
      <c r="N30" s="11" t="n">
        <v>1.53364172956695</v>
      </c>
      <c r="O30" s="11" t="n">
        <v>1.86203114027847</v>
      </c>
      <c r="P30" s="11" t="n">
        <v>1.47584681936645</v>
      </c>
      <c r="Q30" s="11" t="n">
        <v>1.51476662209972</v>
      </c>
      <c r="R30" s="11" t="n">
        <v>1.33398288885553</v>
      </c>
      <c r="S30" s="11" t="n">
        <v>1.12237909087011</v>
      </c>
      <c r="T30" s="11" t="n">
        <v>1.05689768072549</v>
      </c>
      <c r="U30" s="11" t="n">
        <v>0.875645821434384</v>
      </c>
      <c r="V30" s="11" t="n">
        <v>0.8315868666216</v>
      </c>
      <c r="W30" s="11" t="n">
        <v>0.670292526306523</v>
      </c>
      <c r="X30" s="11" t="n">
        <v>0.573575637388327</v>
      </c>
      <c r="Y30" s="11" t="n">
        <v>0.677275333999962</v>
      </c>
      <c r="Z30" s="11" t="n">
        <v>0.566450337664012</v>
      </c>
      <c r="AA30" s="11" t="n">
        <v>0.542274811410857</v>
      </c>
      <c r="AB30" s="11" t="n">
        <v>0.478647231455337</v>
      </c>
      <c r="AC30" s="11" t="n">
        <v>0.444232215587311</v>
      </c>
      <c r="AD30" s="11" t="n">
        <v>0.426418736992624</v>
      </c>
      <c r="AE30" s="11" t="n">
        <v>0.458386532676318</v>
      </c>
      <c r="AF30" s="11" t="n">
        <v>0.460093295564997</v>
      </c>
      <c r="AG30" s="11" t="n">
        <v>0.565037427403676</v>
      </c>
      <c r="AH30" s="11" t="n">
        <v>0.497196763554689</v>
      </c>
      <c r="AI30" s="11" t="n">
        <v>0.425406162786779</v>
      </c>
      <c r="AJ30" s="11" t="n">
        <v>0.38749956929647</v>
      </c>
      <c r="AK30" s="11" t="n">
        <v>0.333442729385777</v>
      </c>
      <c r="AL30" s="11" t="n">
        <v>0.301791676439176</v>
      </c>
      <c r="AM30" s="11" t="n">
        <v>0.307854862676676</v>
      </c>
      <c r="AN30" s="11" t="n">
        <v>0.314290204270114</v>
      </c>
      <c r="AO30" s="11" t="n">
        <v>0.320989403465887</v>
      </c>
      <c r="AP30" s="11" t="n">
        <v>0.327856082641555</v>
      </c>
      <c r="AQ30" s="11" t="n">
        <v>0.334894428796614</v>
      </c>
      <c r="AR30" s="11" t="n">
        <v>0.34210873360555</v>
      </c>
      <c r="AS30" s="11" t="n">
        <v>0.349503396034709</v>
      </c>
      <c r="AT30" s="11" t="n">
        <v>0.357082925024598</v>
      </c>
      <c r="AU30" s="11" t="n">
        <v>0.364851942239233</v>
      </c>
      <c r="AV30" s="11" t="n">
        <v>0.372815184884235</v>
      </c>
      <c r="AW30" s="11" t="n">
        <v>0.380977508595361</v>
      </c>
      <c r="AX30" s="11" t="n">
        <v>0.389343890399266</v>
      </c>
      <c r="AY30" s="11" t="n">
        <v>0.389343890399266</v>
      </c>
      <c r="AZ30" s="11" t="n">
        <v>0.389343890399266</v>
      </c>
      <c r="BA30" s="11" t="n">
        <v>0.389343890399266</v>
      </c>
      <c r="BB30" s="11" t="n">
        <v>0.389343890399266</v>
      </c>
      <c r="BC30" s="11" t="n">
        <v>0.389343890399266</v>
      </c>
      <c r="BD30" s="11" t="n">
        <v>0.389343890399266</v>
      </c>
      <c r="BE30" s="11" t="n">
        <v>0.389343890399266</v>
      </c>
      <c r="BF30" s="11" t="n">
        <v>0.389343890399266</v>
      </c>
      <c r="BG30" s="11" t="n">
        <v>0.389343890399266</v>
      </c>
      <c r="BH30" s="11" t="n">
        <v>0.389343890399266</v>
      </c>
      <c r="BI30" s="11" t="n">
        <v>0.389343890399266</v>
      </c>
      <c r="BJ30" s="11" t="n">
        <v>0.389343890399266</v>
      </c>
      <c r="BK30" s="11" t="n">
        <v>0.389343890399266</v>
      </c>
      <c r="BL30" s="11" t="n">
        <v>0.389343890399266</v>
      </c>
      <c r="BM30" s="11" t="n">
        <v>0.389343890399266</v>
      </c>
      <c r="BN30" s="11" t="n">
        <v>1.57278222949341</v>
      </c>
      <c r="BO30" s="11" t="n">
        <v>1.7484414257007</v>
      </c>
      <c r="BP30" s="11" t="n">
        <v>1.92182436467739</v>
      </c>
      <c r="BQ30" s="11" t="n">
        <v>1.94671945199633</v>
      </c>
    </row>
    <row r="31" customFormat="false" ht="13.8" hidden="false" customHeight="false" outlineLevel="0" collapsed="false">
      <c r="A31" s="11" t="s">
        <v>159</v>
      </c>
      <c r="B31" s="11" t="s">
        <v>140</v>
      </c>
      <c r="C31" s="11" t="s">
        <v>139</v>
      </c>
      <c r="D31" s="12"/>
      <c r="E31" s="11" t="n">
        <v>0.00010985408033557</v>
      </c>
      <c r="F31" s="11" t="n">
        <v>0.000130122158157483</v>
      </c>
      <c r="G31" s="11" t="n">
        <v>0.000154129696337539</v>
      </c>
      <c r="H31" s="11" t="n">
        <v>0.000182566625311815</v>
      </c>
      <c r="I31" s="11" t="n">
        <v>0.000216250167681844</v>
      </c>
      <c r="J31" s="11" t="n">
        <v>0.000256148323619145</v>
      </c>
      <c r="K31" s="11" t="n">
        <v>0.000303407689326877</v>
      </c>
      <c r="L31" s="11" t="n">
        <v>0.000359386408007685</v>
      </c>
      <c r="M31" s="11" t="n">
        <v>0.000413294369208839</v>
      </c>
      <c r="N31" s="11" t="n">
        <v>0.000475288524590164</v>
      </c>
      <c r="O31" s="11" t="n">
        <v>0.000546581803278689</v>
      </c>
      <c r="P31" s="11" t="n">
        <v>0.0003334149</v>
      </c>
      <c r="Q31" s="11" t="n">
        <v>0.000315667065</v>
      </c>
      <c r="R31" s="11" t="n">
        <v>0.000278092730755996</v>
      </c>
      <c r="S31" s="11" t="n">
        <v>0.000242880630310798</v>
      </c>
      <c r="T31" s="11" t="n">
        <v>0.000210030763664407</v>
      </c>
      <c r="U31" s="11" t="n">
        <v>0.000179543130816822</v>
      </c>
      <c r="V31" s="11" t="n">
        <v>0.000151417731768044</v>
      </c>
      <c r="W31" s="11" t="n">
        <v>0.000125654566518072</v>
      </c>
      <c r="X31" s="11" t="n">
        <v>0.000102253635066908</v>
      </c>
      <c r="Y31" s="11" t="n">
        <v>8.12149374145491E-005</v>
      </c>
      <c r="Z31" s="11" t="n">
        <v>7.29160376097755E-005</v>
      </c>
      <c r="AA31" s="11" t="n">
        <v>6.46171378050017E-005</v>
      </c>
      <c r="AB31" s="11" t="n">
        <v>5.63182380002279E-005</v>
      </c>
      <c r="AC31" s="11" t="n">
        <v>4.80193381954541E-005</v>
      </c>
      <c r="AD31" s="11" t="n">
        <v>3.97204383906805E-005</v>
      </c>
      <c r="AE31" s="11" t="n">
        <v>3.14215385859067E-005</v>
      </c>
      <c r="AF31" s="11" t="n">
        <v>2.65092764889187E-005</v>
      </c>
      <c r="AG31" s="11" t="n">
        <v>4.25164753911731E-005</v>
      </c>
      <c r="AH31" s="11" t="n">
        <v>4.67511840954731E-005</v>
      </c>
      <c r="AI31" s="11" t="n">
        <v>5.84389801193415E-005</v>
      </c>
      <c r="AJ31" s="11" t="n">
        <v>6.34359363904156E-005</v>
      </c>
      <c r="AK31" s="11" t="n">
        <v>6.34359363904156E-005</v>
      </c>
      <c r="AL31" s="11" t="n">
        <v>6.34359363904156E-005</v>
      </c>
      <c r="AM31" s="11" t="n">
        <v>6.34359363904156E-005</v>
      </c>
      <c r="AN31" s="11" t="n">
        <v>6.34359363904156E-005</v>
      </c>
      <c r="AO31" s="11" t="n">
        <v>6.34359363904156E-005</v>
      </c>
      <c r="AP31" s="11" t="n">
        <v>6.34359363904156E-005</v>
      </c>
      <c r="AQ31" s="11" t="n">
        <v>6.34359363904156E-005</v>
      </c>
      <c r="AR31" s="11" t="n">
        <v>6.34359363904156E-005</v>
      </c>
      <c r="AS31" s="11" t="n">
        <v>6.34359363904156E-005</v>
      </c>
      <c r="AT31" s="11" t="n">
        <v>6.34359363904156E-005</v>
      </c>
      <c r="AU31" s="11" t="n">
        <v>6.34359363904156E-005</v>
      </c>
      <c r="AV31" s="11" t="n">
        <v>6.34359363904156E-005</v>
      </c>
      <c r="AW31" s="11" t="n">
        <v>6.34359363904156E-005</v>
      </c>
      <c r="AX31" s="11" t="n">
        <v>6.34359363904156E-005</v>
      </c>
      <c r="AY31" s="11" t="n">
        <v>6.34359363904156E-005</v>
      </c>
      <c r="AZ31" s="11" t="n">
        <v>6.34359363904156E-005</v>
      </c>
      <c r="BA31" s="11" t="n">
        <v>6.34359363904156E-005</v>
      </c>
      <c r="BB31" s="11" t="n">
        <v>6.34359363904156E-005</v>
      </c>
      <c r="BC31" s="11" t="n">
        <v>6.34359363904156E-005</v>
      </c>
      <c r="BD31" s="11" t="n">
        <v>6.34359363904156E-005</v>
      </c>
      <c r="BE31" s="11" t="n">
        <v>6.34359363904156E-005</v>
      </c>
      <c r="BF31" s="11" t="n">
        <v>6.34359363904156E-005</v>
      </c>
      <c r="BG31" s="11" t="n">
        <v>6.34359363904156E-005</v>
      </c>
      <c r="BH31" s="11" t="n">
        <v>6.34359363904156E-005</v>
      </c>
      <c r="BI31" s="11" t="n">
        <v>6.34359363904156E-005</v>
      </c>
      <c r="BJ31" s="11" t="n">
        <v>6.34359363904156E-005</v>
      </c>
      <c r="BK31" s="11" t="n">
        <v>6.34359363904156E-005</v>
      </c>
      <c r="BL31" s="11" t="n">
        <v>6.34359363904156E-005</v>
      </c>
      <c r="BM31" s="11" t="n">
        <v>6.34359363904156E-005</v>
      </c>
      <c r="BN31" s="11" t="n">
        <v>0.000317179681952078</v>
      </c>
      <c r="BO31" s="11" t="n">
        <v>0.000317179681952078</v>
      </c>
      <c r="BP31" s="11" t="n">
        <v>0.000317179681952078</v>
      </c>
      <c r="BQ31" s="11" t="n">
        <v>0.000317179681952078</v>
      </c>
    </row>
    <row r="32" customFormat="false" ht="35" hidden="false" customHeight="true" outlineLevel="0" collapsed="false">
      <c r="A32" s="11" t="s">
        <v>153</v>
      </c>
      <c r="B32" s="11" t="s">
        <v>144</v>
      </c>
      <c r="C32" s="11" t="s">
        <v>139</v>
      </c>
      <c r="D32" s="12"/>
      <c r="E32" s="11" t="n">
        <v>5.44940363635584</v>
      </c>
      <c r="F32" s="11" t="n">
        <v>5.68701246277331</v>
      </c>
      <c r="G32" s="11" t="n">
        <v>5.71920598282532</v>
      </c>
      <c r="H32" s="11" t="n">
        <v>5.2875915769866</v>
      </c>
      <c r="I32" s="11" t="n">
        <v>5.33763261740122</v>
      </c>
      <c r="J32" s="11" t="n">
        <v>5.45866653640034</v>
      </c>
      <c r="K32" s="11" t="n">
        <v>5.97611113387582</v>
      </c>
      <c r="L32" s="11" t="n">
        <v>5.62268652692908</v>
      </c>
      <c r="M32" s="11" t="n">
        <v>5.41256590715534</v>
      </c>
      <c r="N32" s="11" t="n">
        <v>5.8001330289396</v>
      </c>
      <c r="O32" s="11" t="n">
        <v>5.55338499230605</v>
      </c>
      <c r="P32" s="11" t="n">
        <v>5.50678399465085</v>
      </c>
      <c r="Q32" s="11" t="n">
        <v>5.66600532498298</v>
      </c>
      <c r="R32" s="11" t="n">
        <v>5.90893316494396</v>
      </c>
      <c r="S32" s="11" t="n">
        <v>6.65955246564852</v>
      </c>
      <c r="T32" s="11" t="n">
        <v>7.08493074935612</v>
      </c>
      <c r="U32" s="11" t="n">
        <v>7.0115030678355</v>
      </c>
      <c r="V32" s="11" t="n">
        <v>7.06485884074387</v>
      </c>
      <c r="W32" s="11" t="n">
        <v>7.82037018231285</v>
      </c>
      <c r="X32" s="11" t="n">
        <v>7.70058047003674</v>
      </c>
      <c r="Y32" s="11" t="n">
        <v>7.66687088339145</v>
      </c>
      <c r="Z32" s="11" t="n">
        <v>7.02318509566862</v>
      </c>
      <c r="AA32" s="11" t="n">
        <v>7.68402569966352</v>
      </c>
      <c r="AB32" s="11" t="n">
        <v>7.61142719246031</v>
      </c>
      <c r="AC32" s="11" t="n">
        <v>6.73140157769509</v>
      </c>
      <c r="AD32" s="11" t="n">
        <v>7.8718680109183</v>
      </c>
      <c r="AE32" s="11" t="n">
        <v>7.71432672853328</v>
      </c>
      <c r="AF32" s="11" t="n">
        <v>7.32404050581566</v>
      </c>
      <c r="AG32" s="11" t="n">
        <v>6.1833552997916</v>
      </c>
      <c r="AH32" s="11" t="n">
        <v>6.59339737448675</v>
      </c>
      <c r="AI32" s="11" t="n">
        <v>6.53144775202758</v>
      </c>
      <c r="AJ32" s="11" t="n">
        <v>6.74798844831816</v>
      </c>
      <c r="AK32" s="11" t="n">
        <v>6.34232573353093</v>
      </c>
      <c r="AL32" s="11" t="n">
        <v>6.89118189268432</v>
      </c>
      <c r="AM32" s="11" t="n">
        <v>6.67777514858777</v>
      </c>
      <c r="AN32" s="11" t="n">
        <v>6.69604631172115</v>
      </c>
      <c r="AO32" s="11" t="n">
        <v>6.7012824409141</v>
      </c>
      <c r="AP32" s="11" t="n">
        <v>6.70945172040169</v>
      </c>
      <c r="AQ32" s="11" t="n">
        <v>6.72337572771186</v>
      </c>
      <c r="AR32" s="11" t="n">
        <v>6.73520710454909</v>
      </c>
      <c r="AS32" s="11" t="n">
        <v>6.74960357000588</v>
      </c>
      <c r="AT32" s="11" t="n">
        <v>6.7594142142447</v>
      </c>
      <c r="AU32" s="11" t="n">
        <v>6.76986915834601</v>
      </c>
      <c r="AV32" s="11" t="n">
        <v>6.78850040331447</v>
      </c>
      <c r="AW32" s="11" t="n">
        <v>6.81671201948411</v>
      </c>
      <c r="AX32" s="11" t="n">
        <v>6.86239964997413</v>
      </c>
      <c r="AY32" s="11" t="n">
        <v>6.88729179953262</v>
      </c>
      <c r="AZ32" s="11" t="n">
        <v>6.91231898488265</v>
      </c>
      <c r="BA32" s="11" t="n">
        <v>6.93073351303104</v>
      </c>
      <c r="BB32" s="11" t="n">
        <v>6.9477377978547</v>
      </c>
      <c r="BC32" s="11" t="n">
        <v>6.97313857599452</v>
      </c>
      <c r="BD32" s="11" t="n">
        <v>7.02839406716291</v>
      </c>
      <c r="BE32" s="11" t="n">
        <v>7.05987457957448</v>
      </c>
      <c r="BF32" s="11" t="n">
        <v>7.06128069049597</v>
      </c>
      <c r="BG32" s="11" t="n">
        <v>7.07323998334134</v>
      </c>
      <c r="BH32" s="11" t="n">
        <v>7.07474815797284</v>
      </c>
      <c r="BI32" s="11" t="n">
        <v>7.07639505019463</v>
      </c>
      <c r="BJ32" s="11" t="n">
        <v>7.08202533886613</v>
      </c>
      <c r="BK32" s="11" t="n">
        <v>7.08222000347974</v>
      </c>
      <c r="BL32" s="11" t="n">
        <v>7.08244357729375</v>
      </c>
      <c r="BM32" s="11" t="n">
        <v>7.08264878647207</v>
      </c>
      <c r="BN32" s="11" t="n">
        <v>33.675737514309</v>
      </c>
      <c r="BO32" s="11" t="n">
        <v>33.7374697748575</v>
      </c>
      <c r="BP32" s="11" t="n">
        <v>34.267222857188</v>
      </c>
      <c r="BQ32" s="11" t="n">
        <v>34.9398785336176</v>
      </c>
    </row>
    <row r="33" customFormat="false" ht="13.8" hidden="false" customHeight="false" outlineLevel="0" collapsed="false">
      <c r="A33" s="11" t="s">
        <v>154</v>
      </c>
      <c r="B33" s="11" t="s">
        <v>144</v>
      </c>
      <c r="C33" s="11" t="s">
        <v>139</v>
      </c>
      <c r="D33" s="12"/>
      <c r="E33" s="11" t="n">
        <v>32.5763698351354</v>
      </c>
      <c r="F33" s="11" t="n">
        <v>32.1587644649806</v>
      </c>
      <c r="G33" s="11" t="n">
        <v>32.3429075604532</v>
      </c>
      <c r="H33" s="11" t="n">
        <v>32.2867215516015</v>
      </c>
      <c r="I33" s="11" t="n">
        <v>32.4376625870692</v>
      </c>
      <c r="J33" s="11" t="n">
        <v>32.2069060308039</v>
      </c>
      <c r="K33" s="11" t="n">
        <v>32.8262420298166</v>
      </c>
      <c r="L33" s="11" t="n">
        <v>32.5783502819476</v>
      </c>
      <c r="M33" s="11" t="n">
        <v>32.6734220770182</v>
      </c>
      <c r="N33" s="11" t="n">
        <v>32.5130465142707</v>
      </c>
      <c r="O33" s="11" t="n">
        <v>31.5208846643531</v>
      </c>
      <c r="P33" s="11" t="n">
        <v>29.9473573096136</v>
      </c>
      <c r="Q33" s="11" t="n">
        <v>29.4891220094733</v>
      </c>
      <c r="R33" s="11" t="n">
        <v>29.7648113387233</v>
      </c>
      <c r="S33" s="11" t="n">
        <v>30.0129038331227</v>
      </c>
      <c r="T33" s="11" t="n">
        <v>30.0337892709514</v>
      </c>
      <c r="U33" s="11" t="n">
        <v>29.426456107589</v>
      </c>
      <c r="V33" s="11" t="n">
        <v>29.2328416879712</v>
      </c>
      <c r="W33" s="11" t="n">
        <v>28.2873920663691</v>
      </c>
      <c r="X33" s="11" t="n">
        <v>27.9825945459786</v>
      </c>
      <c r="Y33" s="11" t="n">
        <v>28.2012553827081</v>
      </c>
      <c r="Z33" s="11" t="n">
        <v>28.0085727181442</v>
      </c>
      <c r="AA33" s="11" t="n">
        <v>27.9141821717085</v>
      </c>
      <c r="AB33" s="11" t="n">
        <v>27.7623984894597</v>
      </c>
      <c r="AC33" s="11" t="n">
        <v>28.4920663833579</v>
      </c>
      <c r="AD33" s="11" t="n">
        <v>28.6071141080655</v>
      </c>
      <c r="AE33" s="11" t="n">
        <v>28.4982253089931</v>
      </c>
      <c r="AF33" s="11" t="n">
        <v>28.6037862797924</v>
      </c>
      <c r="AG33" s="11" t="n">
        <v>28.0592009791577</v>
      </c>
      <c r="AH33" s="11" t="n">
        <v>28.1018252656242</v>
      </c>
      <c r="AI33" s="11" t="n">
        <v>27.7333446781784</v>
      </c>
      <c r="AJ33" s="11" t="n">
        <v>27.8900628145382</v>
      </c>
      <c r="AK33" s="11" t="n">
        <v>27.7847764250513</v>
      </c>
      <c r="AL33" s="11" t="n">
        <v>27.203458143358</v>
      </c>
      <c r="AM33" s="11" t="n">
        <v>26.3946164838535</v>
      </c>
      <c r="AN33" s="11" t="n">
        <v>25.9506630864073</v>
      </c>
      <c r="AO33" s="11" t="n">
        <v>25.7575360162502</v>
      </c>
      <c r="AP33" s="11" t="n">
        <v>25.6465872982293</v>
      </c>
      <c r="AQ33" s="11" t="n">
        <v>25.5553179164972</v>
      </c>
      <c r="AR33" s="11" t="n">
        <v>25.4540750988125</v>
      </c>
      <c r="AS33" s="11" t="n">
        <v>25.320701915164</v>
      </c>
      <c r="AT33" s="11" t="n">
        <v>25.1585746132965</v>
      </c>
      <c r="AU33" s="11" t="n">
        <v>24.9629254417806</v>
      </c>
      <c r="AV33" s="11" t="n">
        <v>24.7411781060057</v>
      </c>
      <c r="AW33" s="11" t="n">
        <v>24.497293844699</v>
      </c>
      <c r="AX33" s="11" t="n">
        <v>24.2353431684828</v>
      </c>
      <c r="AY33" s="11" t="n">
        <v>23.9578246651727</v>
      </c>
      <c r="AZ33" s="11" t="n">
        <v>23.666950856919</v>
      </c>
      <c r="BA33" s="11" t="n">
        <v>23.3667778438689</v>
      </c>
      <c r="BB33" s="11" t="n">
        <v>23.0588487529253</v>
      </c>
      <c r="BC33" s="11" t="n">
        <v>22.7461725089146</v>
      </c>
      <c r="BD33" s="11" t="n">
        <v>22.4274252692511</v>
      </c>
      <c r="BE33" s="11" t="n">
        <v>22.1042283036135</v>
      </c>
      <c r="BF33" s="11" t="n">
        <v>21.7764693493121</v>
      </c>
      <c r="BG33" s="11" t="n">
        <v>21.446319061848</v>
      </c>
      <c r="BH33" s="11" t="n">
        <v>21.1143895528754</v>
      </c>
      <c r="BI33" s="11" t="n">
        <v>20.7810638889986</v>
      </c>
      <c r="BJ33" s="11" t="n">
        <v>20.4467186722763</v>
      </c>
      <c r="BK33" s="11" t="n">
        <v>20.1114800604422</v>
      </c>
      <c r="BL33" s="11" t="n">
        <v>19.775632321829</v>
      </c>
      <c r="BM33" s="11" t="n">
        <v>19.4391905593281</v>
      </c>
      <c r="BN33" s="11" t="n">
        <v>130.952861028098</v>
      </c>
      <c r="BO33" s="11" t="n">
        <v>126.451594985551</v>
      </c>
      <c r="BP33" s="11" t="n">
        <v>121.098590641279</v>
      </c>
      <c r="BQ33" s="11" t="n">
        <v>113.703452678573</v>
      </c>
    </row>
    <row r="34" customFormat="false" ht="13.8" hidden="false" customHeight="false" outlineLevel="0" collapsed="false">
      <c r="A34" s="11" t="s">
        <v>155</v>
      </c>
      <c r="B34" s="11" t="s">
        <v>144</v>
      </c>
      <c r="C34" s="11" t="s">
        <v>139</v>
      </c>
      <c r="D34" s="12"/>
      <c r="E34" s="11" t="n">
        <v>16.3728090246472</v>
      </c>
      <c r="F34" s="11" t="n">
        <v>16.3652204738222</v>
      </c>
      <c r="G34" s="11" t="n">
        <v>15.7880323748618</v>
      </c>
      <c r="H34" s="11" t="n">
        <v>15.3872752709718</v>
      </c>
      <c r="I34" s="11" t="n">
        <v>15.9578378738726</v>
      </c>
      <c r="J34" s="11" t="n">
        <v>16.0073151624587</v>
      </c>
      <c r="K34" s="11" t="n">
        <v>16.2385566670363</v>
      </c>
      <c r="L34" s="11" t="n">
        <v>16.4227129027924</v>
      </c>
      <c r="M34" s="11" t="n">
        <v>16.2079933627154</v>
      </c>
      <c r="N34" s="11" t="n">
        <v>16.2277371694367</v>
      </c>
      <c r="O34" s="11" t="n">
        <v>15.5059070589611</v>
      </c>
      <c r="P34" s="11" t="n">
        <v>14.9262809717383</v>
      </c>
      <c r="Q34" s="11" t="n">
        <v>14.9166492139828</v>
      </c>
      <c r="R34" s="11" t="n">
        <v>14.8411843098522</v>
      </c>
      <c r="S34" s="11" t="n">
        <v>14.6249013723467</v>
      </c>
      <c r="T34" s="11" t="n">
        <v>14.319878479678</v>
      </c>
      <c r="U34" s="11" t="n">
        <v>13.9484125589318</v>
      </c>
      <c r="V34" s="11" t="n">
        <v>13.6898865319666</v>
      </c>
      <c r="W34" s="11" t="n">
        <v>13.5903470722667</v>
      </c>
      <c r="X34" s="11" t="n">
        <v>13.5319011034865</v>
      </c>
      <c r="Y34" s="11" t="n">
        <v>13.7591024678466</v>
      </c>
      <c r="Z34" s="11" t="n">
        <v>13.7877731979964</v>
      </c>
      <c r="AA34" s="11" t="n">
        <v>13.6595715469706</v>
      </c>
      <c r="AB34" s="11" t="n">
        <v>13.7111904939868</v>
      </c>
      <c r="AC34" s="11" t="n">
        <v>14.2109240717553</v>
      </c>
      <c r="AD34" s="11" t="n">
        <v>14.1380536664966</v>
      </c>
      <c r="AE34" s="11" t="n">
        <v>13.813109346583</v>
      </c>
      <c r="AF34" s="11" t="n">
        <v>14.0170958536443</v>
      </c>
      <c r="AG34" s="11" t="n">
        <v>13.8566444133239</v>
      </c>
      <c r="AH34" s="11" t="n">
        <v>13.948510664827</v>
      </c>
      <c r="AI34" s="11" t="n">
        <v>13.1569075442857</v>
      </c>
      <c r="AJ34" s="11" t="n">
        <v>13.4785634125849</v>
      </c>
      <c r="AK34" s="11" t="n">
        <v>12.7290815643072</v>
      </c>
      <c r="AL34" s="11" t="n">
        <v>12.5191024192604</v>
      </c>
      <c r="AM34" s="11" t="n">
        <v>12.5045953938355</v>
      </c>
      <c r="AN34" s="11" t="n">
        <v>12.509855969784</v>
      </c>
      <c r="AO34" s="11" t="n">
        <v>12.5217901091834</v>
      </c>
      <c r="AP34" s="11" t="n">
        <v>12.5376828555556</v>
      </c>
      <c r="AQ34" s="11" t="n">
        <v>12.554157734406</v>
      </c>
      <c r="AR34" s="11" t="n">
        <v>12.5678684965442</v>
      </c>
      <c r="AS34" s="11" t="n">
        <v>12.5756416332501</v>
      </c>
      <c r="AT34" s="11" t="n">
        <v>12.5570215325553</v>
      </c>
      <c r="AU34" s="11" t="n">
        <v>12.5324913014387</v>
      </c>
      <c r="AV34" s="11" t="n">
        <v>12.5034970082267</v>
      </c>
      <c r="AW34" s="11" t="n">
        <v>12.4703259903931</v>
      </c>
      <c r="AX34" s="11" t="n">
        <v>12.433896680889</v>
      </c>
      <c r="AY34" s="11" t="n">
        <v>12.3919114799474</v>
      </c>
      <c r="AZ34" s="11" t="n">
        <v>12.3474121594837</v>
      </c>
      <c r="BA34" s="11" t="n">
        <v>12.3011580349169</v>
      </c>
      <c r="BB34" s="11" t="n">
        <v>12.2534032736032</v>
      </c>
      <c r="BC34" s="11" t="n">
        <v>12.2046053471626</v>
      </c>
      <c r="BD34" s="11" t="n">
        <v>12.1545004529808</v>
      </c>
      <c r="BE34" s="11" t="n">
        <v>12.1036019512246</v>
      </c>
      <c r="BF34" s="11" t="n">
        <v>12.0518454013948</v>
      </c>
      <c r="BG34" s="11" t="n">
        <v>11.9995629205948</v>
      </c>
      <c r="BH34" s="11" t="n">
        <v>11.9468725162191</v>
      </c>
      <c r="BI34" s="11" t="n">
        <v>11.8937910989008</v>
      </c>
      <c r="BJ34" s="11" t="n">
        <v>11.8404039203883</v>
      </c>
      <c r="BK34" s="11" t="n">
        <v>11.7867386860474</v>
      </c>
      <c r="BL34" s="11" t="n">
        <v>11.7328487889792</v>
      </c>
      <c r="BM34" s="11" t="n">
        <v>11.6787173875273</v>
      </c>
      <c r="BN34" s="11" t="n">
        <v>62.5930267476189</v>
      </c>
      <c r="BO34" s="11" t="n">
        <v>62.7871806981943</v>
      </c>
      <c r="BP34" s="11" t="n">
        <v>62.1470433189399</v>
      </c>
      <c r="BQ34" s="11" t="n">
        <v>61.0172690598881</v>
      </c>
    </row>
    <row r="35" customFormat="false" ht="13.8" hidden="false" customHeight="false" outlineLevel="0" collapsed="false">
      <c r="A35" s="11" t="s">
        <v>156</v>
      </c>
      <c r="B35" s="11" t="s">
        <v>144</v>
      </c>
      <c r="C35" s="11" t="s">
        <v>139</v>
      </c>
      <c r="D35" s="12"/>
      <c r="E35" s="11" t="n">
        <v>0</v>
      </c>
      <c r="F35" s="11" t="n">
        <v>0</v>
      </c>
      <c r="G35" s="11" t="n">
        <v>0</v>
      </c>
      <c r="H35" s="11" t="n">
        <v>0</v>
      </c>
      <c r="I35" s="11" t="n">
        <v>0</v>
      </c>
      <c r="J35" s="11" t="n">
        <v>0</v>
      </c>
      <c r="K35" s="11" t="n">
        <v>0</v>
      </c>
      <c r="L35" s="11" t="n">
        <v>0</v>
      </c>
      <c r="M35" s="11" t="n">
        <v>0</v>
      </c>
      <c r="N35" s="11" t="n">
        <v>0</v>
      </c>
      <c r="O35" s="11" t="n">
        <v>0</v>
      </c>
      <c r="P35" s="11" t="n">
        <v>0</v>
      </c>
      <c r="Q35" s="11" t="n">
        <v>0</v>
      </c>
      <c r="R35" s="11" t="n">
        <v>0</v>
      </c>
      <c r="S35" s="11" t="n">
        <v>0</v>
      </c>
      <c r="T35" s="11" t="n">
        <v>0</v>
      </c>
      <c r="U35" s="11" t="n">
        <v>0</v>
      </c>
      <c r="V35" s="11" t="n">
        <v>0</v>
      </c>
      <c r="W35" s="11" t="n">
        <v>0</v>
      </c>
      <c r="X35" s="11" t="n">
        <v>0</v>
      </c>
      <c r="Y35" s="11" t="n">
        <v>0</v>
      </c>
      <c r="Z35" s="11" t="n">
        <v>0</v>
      </c>
      <c r="AA35" s="11" t="n">
        <v>0</v>
      </c>
      <c r="AB35" s="11" t="n">
        <v>0</v>
      </c>
      <c r="AC35" s="11" t="n">
        <v>0</v>
      </c>
      <c r="AD35" s="11" t="n">
        <v>0</v>
      </c>
      <c r="AE35" s="11" t="n">
        <v>0</v>
      </c>
      <c r="AF35" s="11" t="n">
        <v>0</v>
      </c>
      <c r="AG35" s="11" t="n">
        <v>0</v>
      </c>
      <c r="AH35" s="11" t="n">
        <v>0</v>
      </c>
      <c r="AI35" s="11" t="n">
        <v>0</v>
      </c>
      <c r="AJ35" s="11" t="n">
        <v>0</v>
      </c>
      <c r="AK35" s="11" t="n">
        <v>0</v>
      </c>
      <c r="AL35" s="11" t="n">
        <v>0</v>
      </c>
      <c r="AM35" s="11" t="n">
        <v>0</v>
      </c>
      <c r="AN35" s="11" t="n">
        <v>0</v>
      </c>
      <c r="AO35" s="11" t="n">
        <v>0</v>
      </c>
      <c r="AP35" s="11" t="n">
        <v>0</v>
      </c>
      <c r="AQ35" s="11" t="n">
        <v>0</v>
      </c>
      <c r="AR35" s="11" t="n">
        <v>0</v>
      </c>
      <c r="AS35" s="11" t="n">
        <v>0</v>
      </c>
      <c r="AT35" s="11" t="n">
        <v>0</v>
      </c>
      <c r="AU35" s="11" t="n">
        <v>0</v>
      </c>
      <c r="AV35" s="11" t="n">
        <v>0</v>
      </c>
      <c r="AW35" s="11" t="n">
        <v>0</v>
      </c>
      <c r="AX35" s="11" t="n">
        <v>0</v>
      </c>
      <c r="AY35" s="11" t="n">
        <v>0</v>
      </c>
      <c r="AZ35" s="11" t="n">
        <v>0</v>
      </c>
      <c r="BA35" s="11" t="n">
        <v>0</v>
      </c>
      <c r="BB35" s="11" t="n">
        <v>0</v>
      </c>
      <c r="BC35" s="11" t="n">
        <v>0</v>
      </c>
      <c r="BD35" s="11" t="n">
        <v>0</v>
      </c>
      <c r="BE35" s="11" t="n">
        <v>0</v>
      </c>
      <c r="BF35" s="11" t="n">
        <v>0</v>
      </c>
      <c r="BG35" s="11" t="n">
        <v>0</v>
      </c>
      <c r="BH35" s="11" t="n">
        <v>0</v>
      </c>
      <c r="BI35" s="11" t="n">
        <v>0</v>
      </c>
      <c r="BJ35" s="11" t="n">
        <v>0</v>
      </c>
      <c r="BK35" s="11" t="n">
        <v>0</v>
      </c>
      <c r="BL35" s="11" t="n">
        <v>0</v>
      </c>
      <c r="BM35" s="11" t="n">
        <v>0</v>
      </c>
      <c r="BN35" s="11" t="n">
        <v>0</v>
      </c>
      <c r="BO35" s="11" t="n">
        <v>0</v>
      </c>
      <c r="BP35" s="11" t="n">
        <v>0</v>
      </c>
      <c r="BQ35" s="11" t="n">
        <v>0</v>
      </c>
    </row>
    <row r="36" customFormat="false" ht="13.8" hidden="false" customHeight="false" outlineLevel="0" collapsed="false">
      <c r="A36" s="11" t="s">
        <v>157</v>
      </c>
      <c r="B36" s="11" t="s">
        <v>144</v>
      </c>
      <c r="C36" s="11" t="s">
        <v>139</v>
      </c>
      <c r="D36" s="12"/>
      <c r="E36" s="11" t="n">
        <v>0</v>
      </c>
      <c r="F36" s="11" t="n">
        <v>0</v>
      </c>
      <c r="G36" s="11" t="n">
        <v>0</v>
      </c>
      <c r="H36" s="11" t="n">
        <v>0</v>
      </c>
      <c r="I36" s="11" t="n">
        <v>0</v>
      </c>
      <c r="J36" s="11" t="n">
        <v>0</v>
      </c>
      <c r="K36" s="11" t="n">
        <v>0</v>
      </c>
      <c r="L36" s="11" t="n">
        <v>0</v>
      </c>
      <c r="M36" s="11" t="n">
        <v>0</v>
      </c>
      <c r="N36" s="11" t="n">
        <v>0</v>
      </c>
      <c r="O36" s="11" t="n">
        <v>0</v>
      </c>
      <c r="P36" s="11" t="n">
        <v>0</v>
      </c>
      <c r="Q36" s="11" t="n">
        <v>0</v>
      </c>
      <c r="R36" s="11" t="n">
        <v>0</v>
      </c>
      <c r="S36" s="11" t="n">
        <v>0</v>
      </c>
      <c r="T36" s="11" t="n">
        <v>0</v>
      </c>
      <c r="U36" s="11" t="n">
        <v>0</v>
      </c>
      <c r="V36" s="11" t="n">
        <v>0</v>
      </c>
      <c r="W36" s="11" t="n">
        <v>0</v>
      </c>
      <c r="X36" s="11" t="n">
        <v>0</v>
      </c>
      <c r="Y36" s="11" t="n">
        <v>0</v>
      </c>
      <c r="Z36" s="11" t="n">
        <v>0</v>
      </c>
      <c r="AA36" s="11" t="n">
        <v>0</v>
      </c>
      <c r="AB36" s="11" t="n">
        <v>0</v>
      </c>
      <c r="AC36" s="11" t="n">
        <v>0</v>
      </c>
      <c r="AD36" s="11" t="n">
        <v>0</v>
      </c>
      <c r="AE36" s="11" t="n">
        <v>0</v>
      </c>
      <c r="AF36" s="11" t="n">
        <v>0</v>
      </c>
      <c r="AG36" s="11" t="n">
        <v>0</v>
      </c>
      <c r="AH36" s="11" t="n">
        <v>0</v>
      </c>
      <c r="AI36" s="11" t="n">
        <v>0</v>
      </c>
      <c r="AJ36" s="11" t="n">
        <v>0</v>
      </c>
      <c r="AK36" s="11" t="n">
        <v>0</v>
      </c>
      <c r="AL36" s="11" t="n">
        <v>0</v>
      </c>
      <c r="AM36" s="11" t="n">
        <v>0</v>
      </c>
      <c r="AN36" s="11" t="n">
        <v>0</v>
      </c>
      <c r="AO36" s="11" t="n">
        <v>0</v>
      </c>
      <c r="AP36" s="11" t="n">
        <v>0</v>
      </c>
      <c r="AQ36" s="11" t="n">
        <v>0</v>
      </c>
      <c r="AR36" s="11" t="n">
        <v>0</v>
      </c>
      <c r="AS36" s="11" t="n">
        <v>0</v>
      </c>
      <c r="AT36" s="11" t="n">
        <v>0</v>
      </c>
      <c r="AU36" s="11" t="n">
        <v>0</v>
      </c>
      <c r="AV36" s="11" t="n">
        <v>0</v>
      </c>
      <c r="AW36" s="11" t="n">
        <v>0</v>
      </c>
      <c r="AX36" s="11" t="n">
        <v>0</v>
      </c>
      <c r="AY36" s="11" t="n">
        <v>0</v>
      </c>
      <c r="AZ36" s="11" t="n">
        <v>0</v>
      </c>
      <c r="BA36" s="11" t="n">
        <v>0</v>
      </c>
      <c r="BB36" s="11" t="n">
        <v>0</v>
      </c>
      <c r="BC36" s="11" t="n">
        <v>0</v>
      </c>
      <c r="BD36" s="11" t="n">
        <v>0</v>
      </c>
      <c r="BE36" s="11" t="n">
        <v>0</v>
      </c>
      <c r="BF36" s="11" t="n">
        <v>0</v>
      </c>
      <c r="BG36" s="11" t="n">
        <v>0</v>
      </c>
      <c r="BH36" s="11" t="n">
        <v>0</v>
      </c>
      <c r="BI36" s="11" t="n">
        <v>0</v>
      </c>
      <c r="BJ36" s="11" t="n">
        <v>0</v>
      </c>
      <c r="BK36" s="11" t="n">
        <v>0</v>
      </c>
      <c r="BL36" s="11" t="n">
        <v>0</v>
      </c>
      <c r="BM36" s="11" t="n">
        <v>0</v>
      </c>
      <c r="BN36" s="11" t="n">
        <v>0</v>
      </c>
      <c r="BO36" s="11" t="n">
        <v>0</v>
      </c>
      <c r="BP36" s="11" t="n">
        <v>0</v>
      </c>
      <c r="BQ36" s="11" t="n">
        <v>0</v>
      </c>
    </row>
    <row r="37" customFormat="false" ht="13.8" hidden="false" customHeight="false" outlineLevel="0" collapsed="false">
      <c r="A37" s="11" t="s">
        <v>158</v>
      </c>
      <c r="B37" s="11" t="s">
        <v>144</v>
      </c>
      <c r="C37" s="11" t="s">
        <v>139</v>
      </c>
      <c r="D37" s="12"/>
      <c r="E37" s="11" t="n">
        <v>0</v>
      </c>
      <c r="F37" s="11" t="n">
        <v>0</v>
      </c>
      <c r="G37" s="11" t="n">
        <v>0</v>
      </c>
      <c r="H37" s="11" t="n">
        <v>0</v>
      </c>
      <c r="I37" s="11" t="n">
        <v>0</v>
      </c>
      <c r="J37" s="11" t="n">
        <v>0</v>
      </c>
      <c r="K37" s="11" t="n">
        <v>0</v>
      </c>
      <c r="L37" s="11" t="n">
        <v>0</v>
      </c>
      <c r="M37" s="11" t="n">
        <v>0</v>
      </c>
      <c r="N37" s="11" t="n">
        <v>0</v>
      </c>
      <c r="O37" s="11" t="n">
        <v>0</v>
      </c>
      <c r="P37" s="11" t="n">
        <v>0</v>
      </c>
      <c r="Q37" s="11" t="n">
        <v>0</v>
      </c>
      <c r="R37" s="11" t="n">
        <v>0</v>
      </c>
      <c r="S37" s="11" t="n">
        <v>0</v>
      </c>
      <c r="T37" s="11" t="n">
        <v>0</v>
      </c>
      <c r="U37" s="11" t="n">
        <v>0</v>
      </c>
      <c r="V37" s="11" t="n">
        <v>0</v>
      </c>
      <c r="W37" s="11" t="n">
        <v>0</v>
      </c>
      <c r="X37" s="11" t="n">
        <v>0</v>
      </c>
      <c r="Y37" s="11" t="n">
        <v>0</v>
      </c>
      <c r="Z37" s="11" t="n">
        <v>0</v>
      </c>
      <c r="AA37" s="11" t="n">
        <v>0</v>
      </c>
      <c r="AB37" s="11" t="n">
        <v>0</v>
      </c>
      <c r="AC37" s="11" t="n">
        <v>0</v>
      </c>
      <c r="AD37" s="11" t="n">
        <v>0</v>
      </c>
      <c r="AE37" s="11" t="n">
        <v>0</v>
      </c>
      <c r="AF37" s="11" t="n">
        <v>0</v>
      </c>
      <c r="AG37" s="11" t="n">
        <v>0</v>
      </c>
      <c r="AH37" s="11" t="n">
        <v>0</v>
      </c>
      <c r="AI37" s="11" t="n">
        <v>0</v>
      </c>
      <c r="AJ37" s="11" t="n">
        <v>0</v>
      </c>
      <c r="AK37" s="11" t="n">
        <v>0</v>
      </c>
      <c r="AL37" s="11" t="n">
        <v>0</v>
      </c>
      <c r="AM37" s="11" t="n">
        <v>0</v>
      </c>
      <c r="AN37" s="11" t="n">
        <v>0</v>
      </c>
      <c r="AO37" s="11" t="n">
        <v>0</v>
      </c>
      <c r="AP37" s="11" t="n">
        <v>0</v>
      </c>
      <c r="AQ37" s="11" t="n">
        <v>0</v>
      </c>
      <c r="AR37" s="11" t="n">
        <v>0</v>
      </c>
      <c r="AS37" s="11" t="n">
        <v>0</v>
      </c>
      <c r="AT37" s="11" t="n">
        <v>0</v>
      </c>
      <c r="AU37" s="11" t="n">
        <v>0</v>
      </c>
      <c r="AV37" s="11" t="n">
        <v>0</v>
      </c>
      <c r="AW37" s="11" t="n">
        <v>0</v>
      </c>
      <c r="AX37" s="11" t="n">
        <v>0</v>
      </c>
      <c r="AY37" s="11" t="n">
        <v>0</v>
      </c>
      <c r="AZ37" s="11" t="n">
        <v>0</v>
      </c>
      <c r="BA37" s="11" t="n">
        <v>0</v>
      </c>
      <c r="BB37" s="11" t="n">
        <v>0</v>
      </c>
      <c r="BC37" s="11" t="n">
        <v>0</v>
      </c>
      <c r="BD37" s="11" t="n">
        <v>0</v>
      </c>
      <c r="BE37" s="11" t="n">
        <v>0</v>
      </c>
      <c r="BF37" s="11" t="n">
        <v>0</v>
      </c>
      <c r="BG37" s="11" t="n">
        <v>0</v>
      </c>
      <c r="BH37" s="11" t="n">
        <v>0</v>
      </c>
      <c r="BI37" s="11" t="n">
        <v>0</v>
      </c>
      <c r="BJ37" s="11" t="n">
        <v>0</v>
      </c>
      <c r="BK37" s="11" t="n">
        <v>0</v>
      </c>
      <c r="BL37" s="11" t="n">
        <v>0</v>
      </c>
      <c r="BM37" s="11" t="n">
        <v>0</v>
      </c>
      <c r="BN37" s="11" t="n">
        <v>0</v>
      </c>
      <c r="BO37" s="11" t="n">
        <v>0</v>
      </c>
      <c r="BP37" s="11" t="n">
        <v>0</v>
      </c>
      <c r="BQ37" s="11" t="n">
        <v>0</v>
      </c>
    </row>
    <row r="38" customFormat="false" ht="13.8" hidden="false" customHeight="false" outlineLevel="0" collapsed="false">
      <c r="A38" s="11" t="s">
        <v>159</v>
      </c>
      <c r="B38" s="11" t="s">
        <v>144</v>
      </c>
      <c r="C38" s="11" t="s">
        <v>139</v>
      </c>
      <c r="D38" s="12"/>
      <c r="E38" s="11" t="n">
        <v>0</v>
      </c>
      <c r="F38" s="11" t="n">
        <v>0</v>
      </c>
      <c r="G38" s="11" t="n">
        <v>0</v>
      </c>
      <c r="H38" s="11" t="n">
        <v>0</v>
      </c>
      <c r="I38" s="11" t="n">
        <v>0</v>
      </c>
      <c r="J38" s="11" t="n">
        <v>0</v>
      </c>
      <c r="K38" s="11" t="n">
        <v>0</v>
      </c>
      <c r="L38" s="11" t="n">
        <v>0</v>
      </c>
      <c r="M38" s="11" t="n">
        <v>0</v>
      </c>
      <c r="N38" s="11" t="n">
        <v>0</v>
      </c>
      <c r="O38" s="11" t="n">
        <v>0</v>
      </c>
      <c r="P38" s="11" t="n">
        <v>0</v>
      </c>
      <c r="Q38" s="11" t="n">
        <v>0</v>
      </c>
      <c r="R38" s="11" t="n">
        <v>0</v>
      </c>
      <c r="S38" s="11" t="n">
        <v>0</v>
      </c>
      <c r="T38" s="11" t="n">
        <v>0</v>
      </c>
      <c r="U38" s="11" t="n">
        <v>0</v>
      </c>
      <c r="V38" s="11" t="n">
        <v>0</v>
      </c>
      <c r="W38" s="11" t="n">
        <v>0</v>
      </c>
      <c r="X38" s="11" t="n">
        <v>0</v>
      </c>
      <c r="Y38" s="11" t="n">
        <v>0</v>
      </c>
      <c r="Z38" s="11" t="n">
        <v>0</v>
      </c>
      <c r="AA38" s="11" t="n">
        <v>0</v>
      </c>
      <c r="AB38" s="11" t="n">
        <v>0</v>
      </c>
      <c r="AC38" s="11" t="n">
        <v>0</v>
      </c>
      <c r="AD38" s="11" t="n">
        <v>0</v>
      </c>
      <c r="AE38" s="11" t="n">
        <v>0</v>
      </c>
      <c r="AF38" s="11" t="n">
        <v>0</v>
      </c>
      <c r="AG38" s="11" t="n">
        <v>0</v>
      </c>
      <c r="AH38" s="11" t="n">
        <v>0</v>
      </c>
      <c r="AI38" s="11" t="n">
        <v>0</v>
      </c>
      <c r="AJ38" s="11" t="n">
        <v>0</v>
      </c>
      <c r="AK38" s="11" t="n">
        <v>0</v>
      </c>
      <c r="AL38" s="11" t="n">
        <v>0</v>
      </c>
      <c r="AM38" s="11" t="n">
        <v>0</v>
      </c>
      <c r="AN38" s="11" t="n">
        <v>0</v>
      </c>
      <c r="AO38" s="11" t="n">
        <v>0</v>
      </c>
      <c r="AP38" s="11" t="n">
        <v>0</v>
      </c>
      <c r="AQ38" s="11" t="n">
        <v>0</v>
      </c>
      <c r="AR38" s="11" t="n">
        <v>0</v>
      </c>
      <c r="AS38" s="11" t="n">
        <v>0</v>
      </c>
      <c r="AT38" s="11" t="n">
        <v>0</v>
      </c>
      <c r="AU38" s="11" t="n">
        <v>0</v>
      </c>
      <c r="AV38" s="11" t="n">
        <v>0</v>
      </c>
      <c r="AW38" s="11" t="n">
        <v>0</v>
      </c>
      <c r="AX38" s="11" t="n">
        <v>0</v>
      </c>
      <c r="AY38" s="11" t="n">
        <v>0</v>
      </c>
      <c r="AZ38" s="11" t="n">
        <v>0</v>
      </c>
      <c r="BA38" s="11" t="n">
        <v>0</v>
      </c>
      <c r="BB38" s="11" t="n">
        <v>0</v>
      </c>
      <c r="BC38" s="11" t="n">
        <v>0</v>
      </c>
      <c r="BD38" s="11" t="n">
        <v>0</v>
      </c>
      <c r="BE38" s="11" t="n">
        <v>0</v>
      </c>
      <c r="BF38" s="11" t="n">
        <v>0</v>
      </c>
      <c r="BG38" s="11" t="n">
        <v>0</v>
      </c>
      <c r="BH38" s="11" t="n">
        <v>0</v>
      </c>
      <c r="BI38" s="11" t="n">
        <v>0</v>
      </c>
      <c r="BJ38" s="11" t="n">
        <v>0</v>
      </c>
      <c r="BK38" s="11" t="n">
        <v>0</v>
      </c>
      <c r="BL38" s="11" t="n">
        <v>0</v>
      </c>
      <c r="BM38" s="11" t="n">
        <v>0</v>
      </c>
      <c r="BN38" s="11" t="n">
        <v>0</v>
      </c>
      <c r="BO38" s="11" t="n">
        <v>0</v>
      </c>
      <c r="BP38" s="11" t="n">
        <v>0</v>
      </c>
      <c r="BQ38" s="11" t="n">
        <v>0</v>
      </c>
    </row>
    <row r="39" customFormat="false" ht="35" hidden="false" customHeight="true" outlineLevel="0" collapsed="false">
      <c r="A39" s="11" t="s">
        <v>153</v>
      </c>
      <c r="B39" s="11" t="s">
        <v>145</v>
      </c>
      <c r="C39" s="11" t="s">
        <v>139</v>
      </c>
      <c r="D39" s="12"/>
      <c r="E39" s="11" t="n">
        <v>107.006619113315</v>
      </c>
      <c r="F39" s="11" t="n">
        <v>118.571271679919</v>
      </c>
      <c r="G39" s="11" t="n">
        <v>115.365116930026</v>
      </c>
      <c r="H39" s="11" t="n">
        <v>118.888988459961</v>
      </c>
      <c r="I39" s="11" t="n">
        <v>114.016445244786</v>
      </c>
      <c r="J39" s="11" t="n">
        <v>110.052817459338</v>
      </c>
      <c r="K39" s="11" t="n">
        <v>123.077789480258</v>
      </c>
      <c r="L39" s="11" t="n">
        <v>113.822627989467</v>
      </c>
      <c r="M39" s="11" t="n">
        <v>115.075774673499</v>
      </c>
      <c r="N39" s="11" t="n">
        <v>116.213862437466</v>
      </c>
      <c r="O39" s="11" t="n">
        <v>115.803230231821</v>
      </c>
      <c r="P39" s="11" t="n">
        <v>118.689813705485</v>
      </c>
      <c r="Q39" s="11" t="n">
        <v>110.728989997168</v>
      </c>
      <c r="R39" s="11" t="n">
        <v>111.729900546937</v>
      </c>
      <c r="S39" s="11" t="n">
        <v>114.038419011116</v>
      </c>
      <c r="T39" s="11" t="n">
        <v>109.936176728023</v>
      </c>
      <c r="U39" s="11" t="n">
        <v>104.922967761487</v>
      </c>
      <c r="V39" s="11" t="n">
        <v>99.8553641643471</v>
      </c>
      <c r="W39" s="11" t="n">
        <v>104.552021725002</v>
      </c>
      <c r="X39" s="11" t="n">
        <v>97.8409024411784</v>
      </c>
      <c r="Y39" s="11" t="n">
        <v>108.354620436503</v>
      </c>
      <c r="Z39" s="11" t="n">
        <v>88.017855929743</v>
      </c>
      <c r="AA39" s="11" t="n">
        <v>97.2488548555217</v>
      </c>
      <c r="AB39" s="11" t="n">
        <v>98.4255372463301</v>
      </c>
      <c r="AC39" s="11" t="n">
        <v>83.5184551593361</v>
      </c>
      <c r="AD39" s="11" t="n">
        <v>85.8755365702537</v>
      </c>
      <c r="AE39" s="11" t="n">
        <v>86.821136145872</v>
      </c>
      <c r="AF39" s="11" t="n">
        <v>84.7052804131642</v>
      </c>
      <c r="AG39" s="11" t="n">
        <v>89.1700104111717</v>
      </c>
      <c r="AH39" s="11" t="n">
        <v>85.9169716334528</v>
      </c>
      <c r="AI39" s="11" t="n">
        <v>86.2092989624153</v>
      </c>
      <c r="AJ39" s="11" t="n">
        <v>91.1237794427334</v>
      </c>
      <c r="AK39" s="11" t="n">
        <v>76.9044083360566</v>
      </c>
      <c r="AL39" s="11" t="n">
        <v>72.3439109186419</v>
      </c>
      <c r="AM39" s="11" t="n">
        <v>75.1253784666781</v>
      </c>
      <c r="AN39" s="11" t="n">
        <v>78.1425143339755</v>
      </c>
      <c r="AO39" s="11" t="n">
        <v>77.9050679084487</v>
      </c>
      <c r="AP39" s="11" t="n">
        <v>77.6979052996935</v>
      </c>
      <c r="AQ39" s="11" t="n">
        <v>77.3698324958579</v>
      </c>
      <c r="AR39" s="11" t="n">
        <v>77.3917959048646</v>
      </c>
      <c r="AS39" s="11" t="n">
        <v>77.1865190820891</v>
      </c>
      <c r="AT39" s="11" t="n">
        <v>77.1299795781287</v>
      </c>
      <c r="AU39" s="11" t="n">
        <v>77.0690235695699</v>
      </c>
      <c r="AV39" s="11" t="n">
        <v>77.0624690829251</v>
      </c>
      <c r="AW39" s="11" t="n">
        <v>77.077645518581</v>
      </c>
      <c r="AX39" s="11" t="n">
        <v>77.1501189916384</v>
      </c>
      <c r="AY39" s="11" t="n">
        <v>77.6027274778547</v>
      </c>
      <c r="AZ39" s="11" t="n">
        <v>77.7397864135726</v>
      </c>
      <c r="BA39" s="11" t="n">
        <v>77.9664676023332</v>
      </c>
      <c r="BB39" s="11" t="n">
        <v>78.2036787585838</v>
      </c>
      <c r="BC39" s="11" t="n">
        <v>78.4813969720266</v>
      </c>
      <c r="BD39" s="11" t="n">
        <v>78.8430297111347</v>
      </c>
      <c r="BE39" s="11" t="n">
        <v>79.0531490140388</v>
      </c>
      <c r="BF39" s="11" t="n">
        <v>79.1875667796198</v>
      </c>
      <c r="BG39" s="11" t="n">
        <v>79.5193446725298</v>
      </c>
      <c r="BH39" s="11" t="n">
        <v>79.5207356703447</v>
      </c>
      <c r="BI39" s="11" t="n">
        <v>79.6238225681542</v>
      </c>
      <c r="BJ39" s="11" t="n">
        <v>79.867088332487</v>
      </c>
      <c r="BK39" s="11" t="n">
        <v>79.9201170557469</v>
      </c>
      <c r="BL39" s="11" t="n">
        <v>79.8804035905698</v>
      </c>
      <c r="BM39" s="11" t="n">
        <v>79.8347899019091</v>
      </c>
      <c r="BN39" s="11" t="n">
        <v>381.214776927438</v>
      </c>
      <c r="BO39" s="11" t="n">
        <v>386.14715063051</v>
      </c>
      <c r="BP39" s="11" t="n">
        <v>386.632747484572</v>
      </c>
      <c r="BQ39" s="11" t="n">
        <v>392.547722058117</v>
      </c>
    </row>
    <row r="40" customFormat="false" ht="13.8" hidden="false" customHeight="false" outlineLevel="0" collapsed="false">
      <c r="A40" s="11" t="s">
        <v>154</v>
      </c>
      <c r="B40" s="11" t="s">
        <v>145</v>
      </c>
      <c r="C40" s="11" t="s">
        <v>139</v>
      </c>
      <c r="D40" s="12"/>
      <c r="E40" s="11" t="n">
        <v>1.93438743017359</v>
      </c>
      <c r="F40" s="11" t="n">
        <v>2.09281339675811</v>
      </c>
      <c r="G40" s="11" t="n">
        <v>1.90487465016747</v>
      </c>
      <c r="H40" s="11" t="n">
        <v>2.0400292812682</v>
      </c>
      <c r="I40" s="11" t="n">
        <v>1.79527505649889</v>
      </c>
      <c r="J40" s="11" t="n">
        <v>1.44938866258208</v>
      </c>
      <c r="K40" s="11" t="n">
        <v>1.51122564806966</v>
      </c>
      <c r="L40" s="11" t="n">
        <v>1.3737866328731</v>
      </c>
      <c r="M40" s="11" t="n">
        <v>1.33054053572705</v>
      </c>
      <c r="N40" s="11" t="n">
        <v>1.34823620318337</v>
      </c>
      <c r="O40" s="11" t="n">
        <v>1.18822527709928</v>
      </c>
      <c r="P40" s="11" t="n">
        <v>1.16633944776346</v>
      </c>
      <c r="Q40" s="11" t="n">
        <v>1.01383296021305</v>
      </c>
      <c r="R40" s="11" t="n">
        <v>0.933221542850081</v>
      </c>
      <c r="S40" s="11" t="n">
        <v>0.901857739023369</v>
      </c>
      <c r="T40" s="11" t="n">
        <v>0.812122999703224</v>
      </c>
      <c r="U40" s="11" t="n">
        <v>0.795568701358164</v>
      </c>
      <c r="V40" s="11" t="n">
        <v>0.759026928260703</v>
      </c>
      <c r="W40" s="11" t="n">
        <v>0.760082219226096</v>
      </c>
      <c r="X40" s="11" t="n">
        <v>0.745030177478765</v>
      </c>
      <c r="Y40" s="11" t="n">
        <v>0.829548103312321</v>
      </c>
      <c r="Z40" s="11" t="n">
        <v>0.748458555760482</v>
      </c>
      <c r="AA40" s="11" t="n">
        <v>0.787903288331951</v>
      </c>
      <c r="AB40" s="11" t="n">
        <v>0.825365487716614</v>
      </c>
      <c r="AC40" s="11" t="n">
        <v>0.752002415193222</v>
      </c>
      <c r="AD40" s="11" t="n">
        <v>0.76937174081912</v>
      </c>
      <c r="AE40" s="11" t="n">
        <v>0.797824147621668</v>
      </c>
      <c r="AF40" s="11" t="n">
        <v>0.84420341170345</v>
      </c>
      <c r="AG40" s="11" t="n">
        <v>0.884861076081247</v>
      </c>
      <c r="AH40" s="11" t="n">
        <v>0.866246153304041</v>
      </c>
      <c r="AI40" s="11" t="n">
        <v>0.888298323747082</v>
      </c>
      <c r="AJ40" s="11" t="n">
        <v>0.949358927981949</v>
      </c>
      <c r="AK40" s="11" t="n">
        <v>0.895104911792876</v>
      </c>
      <c r="AL40" s="11" t="n">
        <v>0.84493900193952</v>
      </c>
      <c r="AM40" s="11" t="n">
        <v>0.886295151247936</v>
      </c>
      <c r="AN40" s="11" t="n">
        <v>0.89421623028065</v>
      </c>
      <c r="AO40" s="11" t="n">
        <v>0.896034422547745</v>
      </c>
      <c r="AP40" s="11" t="n">
        <v>0.902864956247211</v>
      </c>
      <c r="AQ40" s="11" t="n">
        <v>0.902852573245832</v>
      </c>
      <c r="AR40" s="11" t="n">
        <v>0.896755827327438</v>
      </c>
      <c r="AS40" s="11" t="n">
        <v>0.883730636113186</v>
      </c>
      <c r="AT40" s="11" t="n">
        <v>0.876634725398926</v>
      </c>
      <c r="AU40" s="11" t="n">
        <v>0.87366006118604</v>
      </c>
      <c r="AV40" s="11" t="n">
        <v>0.866474697502291</v>
      </c>
      <c r="AW40" s="11" t="n">
        <v>0.857968736387182</v>
      </c>
      <c r="AX40" s="11" t="n">
        <v>0.837879933410583</v>
      </c>
      <c r="AY40" s="11" t="n">
        <v>0.815207129328824</v>
      </c>
      <c r="AZ40" s="11" t="n">
        <v>0.783939666881647</v>
      </c>
      <c r="BA40" s="11" t="n">
        <v>0.770372510318311</v>
      </c>
      <c r="BB40" s="11" t="n">
        <v>0.757050540468841</v>
      </c>
      <c r="BC40" s="11" t="n">
        <v>0.74492166908908</v>
      </c>
      <c r="BD40" s="11" t="n">
        <v>0.732808244288825</v>
      </c>
      <c r="BE40" s="11" t="n">
        <v>0.716226254210629</v>
      </c>
      <c r="BF40" s="11" t="n">
        <v>0.707669318607329</v>
      </c>
      <c r="BG40" s="11" t="n">
        <v>0.698224321016272</v>
      </c>
      <c r="BH40" s="11" t="n">
        <v>0.681768281687467</v>
      </c>
      <c r="BI40" s="11" t="n">
        <v>0.664025640858737</v>
      </c>
      <c r="BJ40" s="11" t="n">
        <v>0.648411884795492</v>
      </c>
      <c r="BK40" s="11" t="n">
        <v>0.638254281301688</v>
      </c>
      <c r="BL40" s="11" t="n">
        <v>0.637923674796424</v>
      </c>
      <c r="BM40" s="11" t="n">
        <v>0.637788977062575</v>
      </c>
      <c r="BN40" s="11" t="n">
        <v>4.42434976226306</v>
      </c>
      <c r="BO40" s="11" t="n">
        <v>4.43363382327142</v>
      </c>
      <c r="BP40" s="11" t="n">
        <v>4.16147016351053</v>
      </c>
      <c r="BQ40" s="11" t="n">
        <v>3.72137921837568</v>
      </c>
    </row>
    <row r="41" customFormat="false" ht="13.8" hidden="false" customHeight="false" outlineLevel="0" collapsed="false">
      <c r="A41" s="11" t="s">
        <v>155</v>
      </c>
      <c r="B41" s="11" t="s">
        <v>145</v>
      </c>
      <c r="C41" s="11" t="s">
        <v>139</v>
      </c>
      <c r="D41" s="12"/>
      <c r="E41" s="11" t="n">
        <v>0.81239387644853</v>
      </c>
      <c r="F41" s="11" t="n">
        <v>0.837310164387793</v>
      </c>
      <c r="G41" s="11" t="n">
        <v>0.807730073233214</v>
      </c>
      <c r="H41" s="11" t="n">
        <v>0.824478955386858</v>
      </c>
      <c r="I41" s="11" t="n">
        <v>0.787396820647646</v>
      </c>
      <c r="J41" s="11" t="n">
        <v>0.73586625337387</v>
      </c>
      <c r="K41" s="11" t="n">
        <v>0.747232546360916</v>
      </c>
      <c r="L41" s="11" t="n">
        <v>0.727990636052086</v>
      </c>
      <c r="M41" s="11" t="n">
        <v>0.720053765993904</v>
      </c>
      <c r="N41" s="11" t="n">
        <v>0.724653000290284</v>
      </c>
      <c r="O41" s="11" t="n">
        <v>0.704194326455599</v>
      </c>
      <c r="P41" s="11" t="n">
        <v>0.714911564243159</v>
      </c>
      <c r="Q41" s="11" t="n">
        <v>0.688574056524535</v>
      </c>
      <c r="R41" s="11" t="n">
        <v>0.676763604250922</v>
      </c>
      <c r="S41" s="11" t="n">
        <v>0.680768457459176</v>
      </c>
      <c r="T41" s="11" t="n">
        <v>0.670982937926471</v>
      </c>
      <c r="U41" s="11" t="n">
        <v>0.674474885150766</v>
      </c>
      <c r="V41" s="11" t="n">
        <v>0.669230340665884</v>
      </c>
      <c r="W41" s="11" t="n">
        <v>0.673097742682906</v>
      </c>
      <c r="X41" s="11" t="n">
        <v>0.67454986089093</v>
      </c>
      <c r="Y41" s="11" t="n">
        <v>0.6907640100899</v>
      </c>
      <c r="Z41" s="11" t="n">
        <v>0.675831255143988</v>
      </c>
      <c r="AA41" s="11" t="n">
        <v>0.846545414599525</v>
      </c>
      <c r="AB41" s="11" t="n">
        <v>0.891900592001091</v>
      </c>
      <c r="AC41" s="11" t="n">
        <v>0.893546411799337</v>
      </c>
      <c r="AD41" s="11" t="n">
        <v>0.904083788266457</v>
      </c>
      <c r="AE41" s="11" t="n">
        <v>0.913451796364845</v>
      </c>
      <c r="AF41" s="11" t="n">
        <v>0.905720524710328</v>
      </c>
      <c r="AG41" s="11" t="n">
        <v>0.916538088663762</v>
      </c>
      <c r="AH41" s="11" t="n">
        <v>0.924124505580662</v>
      </c>
      <c r="AI41" s="11" t="n">
        <v>0.901472041065116</v>
      </c>
      <c r="AJ41" s="11" t="n">
        <v>0.883802548357134</v>
      </c>
      <c r="AK41" s="11" t="n">
        <v>0.845712936789407</v>
      </c>
      <c r="AL41" s="11" t="n">
        <v>0.836001263230554</v>
      </c>
      <c r="AM41" s="11" t="n">
        <v>0.889097789671651</v>
      </c>
      <c r="AN41" s="11" t="n">
        <v>0.895729669172498</v>
      </c>
      <c r="AO41" s="11" t="n">
        <v>0.900393170359171</v>
      </c>
      <c r="AP41" s="11" t="n">
        <v>0.905035066237987</v>
      </c>
      <c r="AQ41" s="11" t="n">
        <v>0.907922604910227</v>
      </c>
      <c r="AR41" s="11" t="n">
        <v>0.909932717266107</v>
      </c>
      <c r="AS41" s="11" t="n">
        <v>0.910862313502253</v>
      </c>
      <c r="AT41" s="11" t="n">
        <v>0.912536025582278</v>
      </c>
      <c r="AU41" s="11" t="n">
        <v>0.914691581820936</v>
      </c>
      <c r="AV41" s="11" t="n">
        <v>0.9162978580904</v>
      </c>
      <c r="AW41" s="11" t="n">
        <v>0.917679651837822</v>
      </c>
      <c r="AX41" s="11" t="n">
        <v>0.917414450092033</v>
      </c>
      <c r="AY41" s="11" t="n">
        <v>0.916741922714496</v>
      </c>
      <c r="AZ41" s="11" t="n">
        <v>0.91482352572557</v>
      </c>
      <c r="BA41" s="11" t="n">
        <v>0.915300266589707</v>
      </c>
      <c r="BB41" s="11" t="n">
        <v>0.91576736548677</v>
      </c>
      <c r="BC41" s="11" t="n">
        <v>0.916393515378162</v>
      </c>
      <c r="BD41" s="11" t="n">
        <v>0.916986860215516</v>
      </c>
      <c r="BE41" s="11" t="n">
        <v>0.916920296408322</v>
      </c>
      <c r="BF41" s="11" t="n">
        <v>0.917940556955333</v>
      </c>
      <c r="BG41" s="11" t="n">
        <v>0.918776350447395</v>
      </c>
      <c r="BH41" s="11" t="n">
        <v>0.918527073562937</v>
      </c>
      <c r="BI41" s="11" t="n">
        <v>0.917969875018122</v>
      </c>
      <c r="BJ41" s="11" t="n">
        <v>0.917632761916067</v>
      </c>
      <c r="BK41" s="11" t="n">
        <v>0.917988060558833</v>
      </c>
      <c r="BL41" s="11" t="n">
        <v>0.919642218834493</v>
      </c>
      <c r="BM41" s="11" t="n">
        <v>0.921249034660306</v>
      </c>
      <c r="BN41" s="11" t="n">
        <v>4.42625695867186</v>
      </c>
      <c r="BO41" s="11" t="n">
        <v>4.5559452430818</v>
      </c>
      <c r="BP41" s="11" t="n">
        <v>4.58295740846032</v>
      </c>
      <c r="BQ41" s="11" t="n">
        <v>4.58136830407848</v>
      </c>
    </row>
    <row r="42" customFormat="false" ht="13.8" hidden="false" customHeight="false" outlineLevel="0" collapsed="false">
      <c r="A42" s="11" t="s">
        <v>156</v>
      </c>
      <c r="B42" s="11" t="s">
        <v>145</v>
      </c>
      <c r="C42" s="11" t="s">
        <v>139</v>
      </c>
      <c r="D42" s="12"/>
      <c r="E42" s="11" t="n">
        <v>0</v>
      </c>
      <c r="F42" s="11" t="n">
        <v>1.7901E-010</v>
      </c>
      <c r="G42" s="11" t="n">
        <v>9.14809215761999E-010</v>
      </c>
      <c r="H42" s="11" t="n">
        <v>0.135746707709875</v>
      </c>
      <c r="I42" s="11" t="n">
        <v>0.357414968201581</v>
      </c>
      <c r="J42" s="11" t="n">
        <v>0.591750522945779</v>
      </c>
      <c r="K42" s="11" t="n">
        <v>0.887812092871218</v>
      </c>
      <c r="L42" s="11" t="n">
        <v>1.21268939746777</v>
      </c>
      <c r="M42" s="11" t="n">
        <v>1.67943437777013</v>
      </c>
      <c r="N42" s="11" t="n">
        <v>2.23766194274384</v>
      </c>
      <c r="O42" s="11" t="n">
        <v>2.85956892573193</v>
      </c>
      <c r="P42" s="11" t="n">
        <v>3.61885336113621</v>
      </c>
      <c r="Q42" s="11" t="n">
        <v>4.2369506225462</v>
      </c>
      <c r="R42" s="11" t="n">
        <v>4.90898918210383</v>
      </c>
      <c r="S42" s="11" t="n">
        <v>5.47172831627325</v>
      </c>
      <c r="T42" s="11" t="n">
        <v>6.02613382558142</v>
      </c>
      <c r="U42" s="11" t="n">
        <v>6.67512027321029</v>
      </c>
      <c r="V42" s="11" t="n">
        <v>7.09453468955328</v>
      </c>
      <c r="W42" s="11" t="n">
        <v>7.33427063376822</v>
      </c>
      <c r="X42" s="11" t="n">
        <v>7.65072094240051</v>
      </c>
      <c r="Y42" s="11" t="n">
        <v>7.98793642368175</v>
      </c>
      <c r="Z42" s="11" t="n">
        <v>8.3762370012988</v>
      </c>
      <c r="AA42" s="11" t="n">
        <v>8.67742513818832</v>
      </c>
      <c r="AB42" s="11" t="n">
        <v>8.67057952123833</v>
      </c>
      <c r="AC42" s="11" t="n">
        <v>8.22294685667956</v>
      </c>
      <c r="AD42" s="11" t="n">
        <v>8.01470776928504</v>
      </c>
      <c r="AE42" s="11" t="n">
        <v>7.72031091816046</v>
      </c>
      <c r="AF42" s="11" t="n">
        <v>7.3188027678909</v>
      </c>
      <c r="AG42" s="11" t="n">
        <v>6.95968164395597</v>
      </c>
      <c r="AH42" s="11" t="n">
        <v>6.39537361443029</v>
      </c>
      <c r="AI42" s="11" t="n">
        <v>5.70528179294858</v>
      </c>
      <c r="AJ42" s="11" t="n">
        <v>5.24401579865645</v>
      </c>
      <c r="AK42" s="11" t="n">
        <v>4.85465601130321</v>
      </c>
      <c r="AL42" s="11" t="n">
        <v>4.45096638460075</v>
      </c>
      <c r="AM42" s="11" t="n">
        <v>4.13587946738664</v>
      </c>
      <c r="AN42" s="11" t="n">
        <v>3.91082861365334</v>
      </c>
      <c r="AO42" s="11" t="n">
        <v>3.71356827885798</v>
      </c>
      <c r="AP42" s="11" t="n">
        <v>3.54141578366137</v>
      </c>
      <c r="AQ42" s="11" t="n">
        <v>3.39718807343199</v>
      </c>
      <c r="AR42" s="11" t="n">
        <v>3.27964772791474</v>
      </c>
      <c r="AS42" s="11" t="n">
        <v>3.18127711434246</v>
      </c>
      <c r="AT42" s="11" t="n">
        <v>3.08743847250553</v>
      </c>
      <c r="AU42" s="11" t="n">
        <v>2.99589314116912</v>
      </c>
      <c r="AV42" s="11" t="n">
        <v>2.92578027127151</v>
      </c>
      <c r="AW42" s="11" t="n">
        <v>2.86490484597939</v>
      </c>
      <c r="AX42" s="11" t="n">
        <v>2.81453511389792</v>
      </c>
      <c r="AY42" s="11" t="n">
        <v>2.78033575089664</v>
      </c>
      <c r="AZ42" s="11" t="n">
        <v>2.76113036850956</v>
      </c>
      <c r="BA42" s="11" t="n">
        <v>2.75271656825477</v>
      </c>
      <c r="BB42" s="11" t="n">
        <v>2.75026689883429</v>
      </c>
      <c r="BC42" s="11" t="n">
        <v>2.75566271576476</v>
      </c>
      <c r="BD42" s="11" t="n">
        <v>2.77370148990248</v>
      </c>
      <c r="BE42" s="11" t="n">
        <v>2.80260530263116</v>
      </c>
      <c r="BF42" s="11" t="n">
        <v>2.83955931184936</v>
      </c>
      <c r="BG42" s="11" t="n">
        <v>2.88285737657756</v>
      </c>
      <c r="BH42" s="11" t="n">
        <v>2.93086885071257</v>
      </c>
      <c r="BI42" s="11" t="n">
        <v>2.97998034582683</v>
      </c>
      <c r="BJ42" s="11" t="n">
        <v>3.02803909746594</v>
      </c>
      <c r="BK42" s="11" t="n">
        <v>3.07319716267257</v>
      </c>
      <c r="BL42" s="11" t="n">
        <v>3.11529035542257</v>
      </c>
      <c r="BM42" s="11" t="n">
        <v>3.15658114223842</v>
      </c>
      <c r="BN42" s="11" t="n">
        <v>19.7526585281601</v>
      </c>
      <c r="BO42" s="11" t="n">
        <v>15.9414445293638</v>
      </c>
      <c r="BP42" s="11" t="n">
        <v>14.146686350555</v>
      </c>
      <c r="BQ42" s="11" t="n">
        <v>13.8349529753875</v>
      </c>
    </row>
    <row r="43" customFormat="false" ht="13.8" hidden="false" customHeight="false" outlineLevel="0" collapsed="false">
      <c r="A43" s="11" t="s">
        <v>157</v>
      </c>
      <c r="B43" s="11" t="s">
        <v>145</v>
      </c>
      <c r="C43" s="11" t="s">
        <v>139</v>
      </c>
      <c r="D43" s="12"/>
      <c r="E43" s="11" t="n">
        <v>0</v>
      </c>
      <c r="F43" s="11" t="n">
        <v>0</v>
      </c>
      <c r="G43" s="11" t="n">
        <v>0</v>
      </c>
      <c r="H43" s="11" t="n">
        <v>0</v>
      </c>
      <c r="I43" s="11" t="n">
        <v>0</v>
      </c>
      <c r="J43" s="11" t="n">
        <v>0.00045816</v>
      </c>
      <c r="K43" s="11" t="n">
        <v>0.00128248</v>
      </c>
      <c r="L43" s="11" t="n">
        <v>0.00247296</v>
      </c>
      <c r="M43" s="11" t="n">
        <v>0.00357144</v>
      </c>
      <c r="N43" s="11" t="n">
        <v>0.00466992</v>
      </c>
      <c r="O43" s="11" t="n">
        <v>0.00517316</v>
      </c>
      <c r="P43" s="11" t="n">
        <v>0.00528678</v>
      </c>
      <c r="Q43" s="11" t="n">
        <v>0.00511359</v>
      </c>
      <c r="R43" s="11" t="n">
        <v>0.004704995</v>
      </c>
      <c r="S43" s="11" t="n">
        <v>0.0040866975</v>
      </c>
      <c r="T43" s="11" t="n">
        <v>0.00317954875</v>
      </c>
      <c r="U43" s="11" t="n">
        <v>0.002265974375</v>
      </c>
      <c r="V43" s="11" t="n">
        <v>0.0011651871875</v>
      </c>
      <c r="W43" s="11" t="n">
        <v>0.00043079359375</v>
      </c>
      <c r="X43" s="11" t="n">
        <v>0.0002332604296875</v>
      </c>
      <c r="Y43" s="11" t="n">
        <v>0</v>
      </c>
      <c r="Z43" s="11" t="n">
        <v>0</v>
      </c>
      <c r="AA43" s="11" t="n">
        <v>0</v>
      </c>
      <c r="AB43" s="11" t="n">
        <v>0</v>
      </c>
      <c r="AC43" s="11" t="n">
        <v>0</v>
      </c>
      <c r="AD43" s="11" t="n">
        <v>0</v>
      </c>
      <c r="AE43" s="11" t="n">
        <v>0</v>
      </c>
      <c r="AF43" s="11" t="n">
        <v>0</v>
      </c>
      <c r="AG43" s="11" t="n">
        <v>0</v>
      </c>
      <c r="AH43" s="11" t="n">
        <v>0</v>
      </c>
      <c r="AI43" s="11" t="n">
        <v>0</v>
      </c>
      <c r="AJ43" s="11" t="n">
        <v>0</v>
      </c>
      <c r="AK43" s="11" t="n">
        <v>0</v>
      </c>
      <c r="AL43" s="11" t="n">
        <v>0</v>
      </c>
      <c r="AM43" s="11" t="n">
        <v>0</v>
      </c>
      <c r="AN43" s="11" t="n">
        <v>0</v>
      </c>
      <c r="AO43" s="11" t="n">
        <v>0</v>
      </c>
      <c r="AP43" s="11" t="n">
        <v>0</v>
      </c>
      <c r="AQ43" s="11" t="n">
        <v>0</v>
      </c>
      <c r="AR43" s="11" t="n">
        <v>0</v>
      </c>
      <c r="AS43" s="11" t="n">
        <v>0</v>
      </c>
      <c r="AT43" s="11" t="n">
        <v>0</v>
      </c>
      <c r="AU43" s="11" t="n">
        <v>0</v>
      </c>
      <c r="AV43" s="11" t="n">
        <v>0</v>
      </c>
      <c r="AW43" s="11" t="n">
        <v>0</v>
      </c>
      <c r="AX43" s="11" t="n">
        <v>0</v>
      </c>
      <c r="AY43" s="11" t="n">
        <v>0</v>
      </c>
      <c r="AZ43" s="11" t="n">
        <v>0</v>
      </c>
      <c r="BA43" s="11" t="n">
        <v>0</v>
      </c>
      <c r="BB43" s="11" t="n">
        <v>0</v>
      </c>
      <c r="BC43" s="11" t="n">
        <v>0</v>
      </c>
      <c r="BD43" s="11" t="n">
        <v>0</v>
      </c>
      <c r="BE43" s="11" t="n">
        <v>0</v>
      </c>
      <c r="BF43" s="11" t="n">
        <v>0</v>
      </c>
      <c r="BG43" s="11" t="n">
        <v>0</v>
      </c>
      <c r="BH43" s="11" t="n">
        <v>0</v>
      </c>
      <c r="BI43" s="11" t="n">
        <v>0</v>
      </c>
      <c r="BJ43" s="11" t="n">
        <v>0</v>
      </c>
      <c r="BK43" s="11" t="n">
        <v>0</v>
      </c>
      <c r="BL43" s="11" t="n">
        <v>0</v>
      </c>
      <c r="BM43" s="11" t="n">
        <v>0</v>
      </c>
      <c r="BN43" s="11" t="n">
        <v>0</v>
      </c>
      <c r="BO43" s="11" t="n">
        <v>0</v>
      </c>
      <c r="BP43" s="11" t="n">
        <v>0</v>
      </c>
      <c r="BQ43" s="11" t="n">
        <v>0</v>
      </c>
    </row>
    <row r="44" customFormat="false" ht="13.8" hidden="false" customHeight="false" outlineLevel="0" collapsed="false">
      <c r="A44" s="11" t="s">
        <v>158</v>
      </c>
      <c r="B44" s="11" t="s">
        <v>145</v>
      </c>
      <c r="C44" s="11" t="s">
        <v>139</v>
      </c>
      <c r="D44" s="12"/>
      <c r="E44" s="11" t="n">
        <v>0</v>
      </c>
      <c r="F44" s="11" t="n">
        <v>0</v>
      </c>
      <c r="G44" s="11" t="n">
        <v>0</v>
      </c>
      <c r="H44" s="11" t="n">
        <v>0</v>
      </c>
      <c r="I44" s="11" t="n">
        <v>0</v>
      </c>
      <c r="J44" s="11" t="n">
        <v>0</v>
      </c>
      <c r="K44" s="11" t="n">
        <v>0</v>
      </c>
      <c r="L44" s="11" t="n">
        <v>0</v>
      </c>
      <c r="M44" s="11" t="n">
        <v>0</v>
      </c>
      <c r="N44" s="11" t="n">
        <v>0</v>
      </c>
      <c r="O44" s="11" t="n">
        <v>0</v>
      </c>
      <c r="P44" s="11" t="n">
        <v>0</v>
      </c>
      <c r="Q44" s="11" t="n">
        <v>0</v>
      </c>
      <c r="R44" s="11" t="n">
        <v>0</v>
      </c>
      <c r="S44" s="11" t="n">
        <v>0</v>
      </c>
      <c r="T44" s="11" t="n">
        <v>0</v>
      </c>
      <c r="U44" s="11" t="n">
        <v>0</v>
      </c>
      <c r="V44" s="11" t="n">
        <v>0</v>
      </c>
      <c r="W44" s="11" t="n">
        <v>0</v>
      </c>
      <c r="X44" s="11" t="n">
        <v>0</v>
      </c>
      <c r="Y44" s="11" t="n">
        <v>0</v>
      </c>
      <c r="Z44" s="11" t="n">
        <v>0</v>
      </c>
      <c r="AA44" s="11" t="n">
        <v>0</v>
      </c>
      <c r="AB44" s="11" t="n">
        <v>0</v>
      </c>
      <c r="AC44" s="11" t="n">
        <v>0</v>
      </c>
      <c r="AD44" s="11" t="n">
        <v>0</v>
      </c>
      <c r="AE44" s="11" t="n">
        <v>0</v>
      </c>
      <c r="AF44" s="11" t="n">
        <v>0</v>
      </c>
      <c r="AG44" s="11" t="n">
        <v>0</v>
      </c>
      <c r="AH44" s="11" t="n">
        <v>0</v>
      </c>
      <c r="AI44" s="11" t="n">
        <v>0</v>
      </c>
      <c r="AJ44" s="11" t="n">
        <v>0</v>
      </c>
      <c r="AK44" s="11" t="n">
        <v>0</v>
      </c>
      <c r="AL44" s="11" t="n">
        <v>0</v>
      </c>
      <c r="AM44" s="11" t="n">
        <v>0</v>
      </c>
      <c r="AN44" s="11" t="n">
        <v>0</v>
      </c>
      <c r="AO44" s="11" t="n">
        <v>0</v>
      </c>
      <c r="AP44" s="11" t="n">
        <v>0</v>
      </c>
      <c r="AQ44" s="11" t="n">
        <v>0</v>
      </c>
      <c r="AR44" s="11" t="n">
        <v>0</v>
      </c>
      <c r="AS44" s="11" t="n">
        <v>0</v>
      </c>
      <c r="AT44" s="11" t="n">
        <v>0</v>
      </c>
      <c r="AU44" s="11" t="n">
        <v>0</v>
      </c>
      <c r="AV44" s="11" t="n">
        <v>0</v>
      </c>
      <c r="AW44" s="11" t="n">
        <v>0</v>
      </c>
      <c r="AX44" s="11" t="n">
        <v>0</v>
      </c>
      <c r="AY44" s="11" t="n">
        <v>0</v>
      </c>
      <c r="AZ44" s="11" t="n">
        <v>0</v>
      </c>
      <c r="BA44" s="11" t="n">
        <v>0</v>
      </c>
      <c r="BB44" s="11" t="n">
        <v>0</v>
      </c>
      <c r="BC44" s="11" t="n">
        <v>0</v>
      </c>
      <c r="BD44" s="11" t="n">
        <v>0</v>
      </c>
      <c r="BE44" s="11" t="n">
        <v>0</v>
      </c>
      <c r="BF44" s="11" t="n">
        <v>0</v>
      </c>
      <c r="BG44" s="11" t="n">
        <v>0</v>
      </c>
      <c r="BH44" s="11" t="n">
        <v>0</v>
      </c>
      <c r="BI44" s="11" t="n">
        <v>0</v>
      </c>
      <c r="BJ44" s="11" t="n">
        <v>0</v>
      </c>
      <c r="BK44" s="11" t="n">
        <v>0</v>
      </c>
      <c r="BL44" s="11" t="n">
        <v>0</v>
      </c>
      <c r="BM44" s="11" t="n">
        <v>0</v>
      </c>
      <c r="BN44" s="11" t="n">
        <v>0</v>
      </c>
      <c r="BO44" s="11" t="n">
        <v>0</v>
      </c>
      <c r="BP44" s="11" t="n">
        <v>0</v>
      </c>
      <c r="BQ44" s="11" t="n">
        <v>0</v>
      </c>
    </row>
    <row r="45" customFormat="false" ht="13.8" hidden="false" customHeight="false" outlineLevel="0" collapsed="false">
      <c r="A45" s="11" t="s">
        <v>159</v>
      </c>
      <c r="B45" s="11" t="s">
        <v>145</v>
      </c>
      <c r="C45" s="11" t="s">
        <v>139</v>
      </c>
      <c r="D45" s="12"/>
      <c r="E45" s="11" t="n">
        <v>0</v>
      </c>
      <c r="F45" s="11" t="n">
        <v>0</v>
      </c>
      <c r="G45" s="11" t="n">
        <v>0</v>
      </c>
      <c r="H45" s="11" t="n">
        <v>0</v>
      </c>
      <c r="I45" s="11" t="n">
        <v>0</v>
      </c>
      <c r="J45" s="11" t="n">
        <v>0</v>
      </c>
      <c r="K45" s="11" t="n">
        <v>0</v>
      </c>
      <c r="L45" s="11" t="n">
        <v>0</v>
      </c>
      <c r="M45" s="11" t="n">
        <v>0</v>
      </c>
      <c r="N45" s="11" t="n">
        <v>0</v>
      </c>
      <c r="O45" s="11" t="n">
        <v>0</v>
      </c>
      <c r="P45" s="11" t="n">
        <v>0</v>
      </c>
      <c r="Q45" s="11" t="n">
        <v>0</v>
      </c>
      <c r="R45" s="11" t="n">
        <v>0</v>
      </c>
      <c r="S45" s="11" t="n">
        <v>0</v>
      </c>
      <c r="T45" s="11" t="n">
        <v>0</v>
      </c>
      <c r="U45" s="11" t="n">
        <v>0</v>
      </c>
      <c r="V45" s="11" t="n">
        <v>0</v>
      </c>
      <c r="W45" s="11" t="n">
        <v>0</v>
      </c>
      <c r="X45" s="11" t="n">
        <v>0</v>
      </c>
      <c r="Y45" s="11" t="n">
        <v>0</v>
      </c>
      <c r="Z45" s="11" t="n">
        <v>0</v>
      </c>
      <c r="AA45" s="11" t="n">
        <v>0</v>
      </c>
      <c r="AB45" s="11" t="n">
        <v>0</v>
      </c>
      <c r="AC45" s="11" t="n">
        <v>0</v>
      </c>
      <c r="AD45" s="11" t="n">
        <v>0</v>
      </c>
      <c r="AE45" s="11" t="n">
        <v>0</v>
      </c>
      <c r="AF45" s="11" t="n">
        <v>0</v>
      </c>
      <c r="AG45" s="11" t="n">
        <v>0</v>
      </c>
      <c r="AH45" s="11" t="n">
        <v>0</v>
      </c>
      <c r="AI45" s="11" t="n">
        <v>0</v>
      </c>
      <c r="AJ45" s="11" t="n">
        <v>0</v>
      </c>
      <c r="AK45" s="11" t="n">
        <v>0</v>
      </c>
      <c r="AL45" s="11" t="n">
        <v>0</v>
      </c>
      <c r="AM45" s="11" t="n">
        <v>0</v>
      </c>
      <c r="AN45" s="11" t="n">
        <v>0</v>
      </c>
      <c r="AO45" s="11" t="n">
        <v>0</v>
      </c>
      <c r="AP45" s="11" t="n">
        <v>0</v>
      </c>
      <c r="AQ45" s="11" t="n">
        <v>0</v>
      </c>
      <c r="AR45" s="11" t="n">
        <v>0</v>
      </c>
      <c r="AS45" s="11" t="n">
        <v>0</v>
      </c>
      <c r="AT45" s="11" t="n">
        <v>0</v>
      </c>
      <c r="AU45" s="11" t="n">
        <v>0</v>
      </c>
      <c r="AV45" s="11" t="n">
        <v>0</v>
      </c>
      <c r="AW45" s="11" t="n">
        <v>0</v>
      </c>
      <c r="AX45" s="11" t="n">
        <v>0</v>
      </c>
      <c r="AY45" s="11" t="n">
        <v>0</v>
      </c>
      <c r="AZ45" s="11" t="n">
        <v>0</v>
      </c>
      <c r="BA45" s="11" t="n">
        <v>0</v>
      </c>
      <c r="BB45" s="11" t="n">
        <v>0</v>
      </c>
      <c r="BC45" s="11" t="n">
        <v>0</v>
      </c>
      <c r="BD45" s="11" t="n">
        <v>0</v>
      </c>
      <c r="BE45" s="11" t="n">
        <v>0</v>
      </c>
      <c r="BF45" s="11" t="n">
        <v>0</v>
      </c>
      <c r="BG45" s="11" t="n">
        <v>0</v>
      </c>
      <c r="BH45" s="11" t="n">
        <v>0</v>
      </c>
      <c r="BI45" s="11" t="n">
        <v>0</v>
      </c>
      <c r="BJ45" s="11" t="n">
        <v>0</v>
      </c>
      <c r="BK45" s="11" t="n">
        <v>0</v>
      </c>
      <c r="BL45" s="11" t="n">
        <v>0</v>
      </c>
      <c r="BM45" s="11" t="n">
        <v>0</v>
      </c>
      <c r="BN45" s="11" t="n">
        <v>0</v>
      </c>
      <c r="BO45" s="11" t="n">
        <v>0</v>
      </c>
      <c r="BP45" s="11" t="n">
        <v>0</v>
      </c>
      <c r="BQ45" s="11" t="n">
        <v>0</v>
      </c>
    </row>
    <row r="46" customFormat="false" ht="35" hidden="false" customHeight="true" outlineLevel="0" collapsed="false">
      <c r="A46" s="11" t="s">
        <v>153</v>
      </c>
      <c r="B46" s="11" t="s">
        <v>146</v>
      </c>
      <c r="C46" s="11" t="s">
        <v>139</v>
      </c>
      <c r="D46" s="12"/>
      <c r="E46" s="11" t="n">
        <v>126.734280544652</v>
      </c>
      <c r="F46" s="11" t="n">
        <v>124.875535800294</v>
      </c>
      <c r="G46" s="11" t="n">
        <v>126.13221240872</v>
      </c>
      <c r="H46" s="11" t="n">
        <v>127.482468151584</v>
      </c>
      <c r="I46" s="11" t="n">
        <v>128.768253321486</v>
      </c>
      <c r="J46" s="11" t="n">
        <v>128.165426265314</v>
      </c>
      <c r="K46" s="11" t="n">
        <v>132.606035184897</v>
      </c>
      <c r="L46" s="11" t="n">
        <v>133.077743573691</v>
      </c>
      <c r="M46" s="11" t="n">
        <v>132.113028379059</v>
      </c>
      <c r="N46" s="11" t="n">
        <v>133.686552512601</v>
      </c>
      <c r="O46" s="11" t="n">
        <v>131.748021969602</v>
      </c>
      <c r="P46" s="11" t="n">
        <v>131.78151285091</v>
      </c>
      <c r="Q46" s="11" t="n">
        <v>134.782969732224</v>
      </c>
      <c r="R46" s="11" t="n">
        <v>133.997571395157</v>
      </c>
      <c r="S46" s="11" t="n">
        <v>135.181893146941</v>
      </c>
      <c r="T46" s="11" t="n">
        <v>135.625815006098</v>
      </c>
      <c r="U46" s="11" t="n">
        <v>135.714065160162</v>
      </c>
      <c r="V46" s="11" t="n">
        <v>136.779614106619</v>
      </c>
      <c r="W46" s="11" t="n">
        <v>131.722707822604</v>
      </c>
      <c r="X46" s="11" t="n">
        <v>127.162589713157</v>
      </c>
      <c r="Y46" s="11" t="n">
        <v>125.482012832332</v>
      </c>
      <c r="Z46" s="11" t="n">
        <v>122.816849790181</v>
      </c>
      <c r="AA46" s="11" t="n">
        <v>122.049543889115</v>
      </c>
      <c r="AB46" s="11" t="n">
        <v>120.207485455733</v>
      </c>
      <c r="AC46" s="11" t="n">
        <v>121.957819313515</v>
      </c>
      <c r="AD46" s="11" t="n">
        <v>122.387295757524</v>
      </c>
      <c r="AE46" s="11" t="n">
        <v>125.805046801565</v>
      </c>
      <c r="AF46" s="11" t="n">
        <v>126.482495943488</v>
      </c>
      <c r="AG46" s="11" t="n">
        <v>125.14352192694</v>
      </c>
      <c r="AH46" s="11" t="n">
        <v>121.829413966915</v>
      </c>
      <c r="AI46" s="11" t="n">
        <v>100.815821597544</v>
      </c>
      <c r="AJ46" s="11" t="n">
        <v>109.279415631236</v>
      </c>
      <c r="AK46" s="11" t="n">
        <v>110.52234783005</v>
      </c>
      <c r="AL46" s="11" t="n">
        <v>109.288217164144</v>
      </c>
      <c r="AM46" s="11" t="n">
        <v>109.9443043458</v>
      </c>
      <c r="AN46" s="11" t="n">
        <v>114.080864112347</v>
      </c>
      <c r="AO46" s="11" t="n">
        <v>111.336393590645</v>
      </c>
      <c r="AP46" s="11" t="n">
        <v>108.388698421616</v>
      </c>
      <c r="AQ46" s="11" t="n">
        <v>104.115200031719</v>
      </c>
      <c r="AR46" s="11" t="n">
        <v>99.0018886551455</v>
      </c>
      <c r="AS46" s="11" t="n">
        <v>92.876655746194</v>
      </c>
      <c r="AT46" s="11" t="n">
        <v>87.2543492974143</v>
      </c>
      <c r="AU46" s="11" t="n">
        <v>82.0499311010346</v>
      </c>
      <c r="AV46" s="11" t="n">
        <v>77.5545547670061</v>
      </c>
      <c r="AW46" s="11" t="n">
        <v>73.5433287459664</v>
      </c>
      <c r="AX46" s="11" t="n">
        <v>70.0438153855085</v>
      </c>
      <c r="AY46" s="11" t="n">
        <v>66.879283600997</v>
      </c>
      <c r="AZ46" s="11" t="n">
        <v>64.0400338302282</v>
      </c>
      <c r="BA46" s="11" t="n">
        <v>61.5271900929347</v>
      </c>
      <c r="BB46" s="11" t="n">
        <v>59.3638661250293</v>
      </c>
      <c r="BC46" s="11" t="n">
        <v>57.3847335340012</v>
      </c>
      <c r="BD46" s="11" t="n">
        <v>55.7357795157386</v>
      </c>
      <c r="BE46" s="11" t="n">
        <v>54.2819972067731</v>
      </c>
      <c r="BF46" s="11" t="n">
        <v>53.1384976905681</v>
      </c>
      <c r="BG46" s="11" t="n">
        <v>52.1352978256127</v>
      </c>
      <c r="BH46" s="11" t="n">
        <v>51.2836948596691</v>
      </c>
      <c r="BI46" s="11" t="n">
        <v>50.626327307593</v>
      </c>
      <c r="BJ46" s="11" t="n">
        <v>50.0575771692664</v>
      </c>
      <c r="BK46" s="11" t="n">
        <v>49.7231149234285</v>
      </c>
      <c r="BL46" s="11" t="n">
        <v>49.3881490580329</v>
      </c>
      <c r="BM46" s="11" t="n">
        <v>49.122732156538</v>
      </c>
      <c r="BN46" s="11" t="n">
        <v>553.038477634553</v>
      </c>
      <c r="BO46" s="11" t="n">
        <v>465.298024831508</v>
      </c>
      <c r="BP46" s="11" t="n">
        <v>352.061016329706</v>
      </c>
      <c r="BQ46" s="11" t="n">
        <v>288.293566474477</v>
      </c>
    </row>
    <row r="47" customFormat="false" ht="13.8" hidden="false" customHeight="false" outlineLevel="0" collapsed="false">
      <c r="A47" s="11" t="s">
        <v>154</v>
      </c>
      <c r="B47" s="11" t="s">
        <v>146</v>
      </c>
      <c r="C47" s="11" t="s">
        <v>139</v>
      </c>
      <c r="D47" s="12"/>
      <c r="E47" s="11" t="n">
        <v>1.27297720515135</v>
      </c>
      <c r="F47" s="11" t="n">
        <v>1.25061064970841</v>
      </c>
      <c r="G47" s="11" t="n">
        <v>1.23659342757763</v>
      </c>
      <c r="H47" s="11" t="n">
        <v>1.18090350389311</v>
      </c>
      <c r="I47" s="11" t="n">
        <v>1.0955305717644</v>
      </c>
      <c r="J47" s="11" t="n">
        <v>1.00538977767048</v>
      </c>
      <c r="K47" s="11" t="n">
        <v>0.962315761341808</v>
      </c>
      <c r="L47" s="11" t="n">
        <v>0.892673715164622</v>
      </c>
      <c r="M47" s="11" t="n">
        <v>0.811787421135039</v>
      </c>
      <c r="N47" s="11" t="n">
        <v>0.757576314149588</v>
      </c>
      <c r="O47" s="11" t="n">
        <v>0.684101118961526</v>
      </c>
      <c r="P47" s="11" t="n">
        <v>0.607935662175375</v>
      </c>
      <c r="Q47" s="11" t="n">
        <v>0.553564609166541</v>
      </c>
      <c r="R47" s="11" t="n">
        <v>0.490426598642274</v>
      </c>
      <c r="S47" s="11" t="n">
        <v>0.442652781387932</v>
      </c>
      <c r="T47" s="11" t="n">
        <v>0.405383013533053</v>
      </c>
      <c r="U47" s="11" t="n">
        <v>0.367868497150927</v>
      </c>
      <c r="V47" s="11" t="n">
        <v>0.336314856171961</v>
      </c>
      <c r="W47" s="11" t="n">
        <v>0.298070140703524</v>
      </c>
      <c r="X47" s="11" t="n">
        <v>0.222453927724501</v>
      </c>
      <c r="Y47" s="11" t="n">
        <v>0.197670484382094</v>
      </c>
      <c r="Z47" s="11" t="n">
        <v>0.175810705642374</v>
      </c>
      <c r="AA47" s="11" t="n">
        <v>0.155309615308844</v>
      </c>
      <c r="AB47" s="11" t="n">
        <v>0.138456429603221</v>
      </c>
      <c r="AC47" s="11" t="n">
        <v>0.128692960690485</v>
      </c>
      <c r="AD47" s="11" t="n">
        <v>0.116468892746588</v>
      </c>
      <c r="AE47" s="11" t="n">
        <v>0.110299894104663</v>
      </c>
      <c r="AF47" s="11" t="n">
        <v>0.10357697205978</v>
      </c>
      <c r="AG47" s="11" t="n">
        <v>0.0976695620046845</v>
      </c>
      <c r="AH47" s="11" t="n">
        <v>0.0954434157696386</v>
      </c>
      <c r="AI47" s="11" t="n">
        <v>0.0747884074140274</v>
      </c>
      <c r="AJ47" s="11" t="n">
        <v>0.0810221488085115</v>
      </c>
      <c r="AK47" s="11" t="n">
        <v>0.0850575444875325</v>
      </c>
      <c r="AL47" s="11" t="n">
        <v>0.0856761920612092</v>
      </c>
      <c r="AM47" s="11" t="n">
        <v>0.0916319440299271</v>
      </c>
      <c r="AN47" s="11" t="n">
        <v>0.0909217827303403</v>
      </c>
      <c r="AO47" s="11" t="n">
        <v>0.0887842092101223</v>
      </c>
      <c r="AP47" s="11" t="n">
        <v>0.087420592819318</v>
      </c>
      <c r="AQ47" s="11" t="n">
        <v>0.0851256715166789</v>
      </c>
      <c r="AR47" s="11" t="n">
        <v>0.0818524064943757</v>
      </c>
      <c r="AS47" s="11" t="n">
        <v>0.0774992849513038</v>
      </c>
      <c r="AT47" s="11" t="n">
        <v>0.0735861299024111</v>
      </c>
      <c r="AU47" s="11" t="n">
        <v>0.0698399119472463</v>
      </c>
      <c r="AV47" s="11" t="n">
        <v>0.0662771964785813</v>
      </c>
      <c r="AW47" s="11" t="n">
        <v>0.0630099982073769</v>
      </c>
      <c r="AX47" s="11" t="n">
        <v>0.0600152051912518</v>
      </c>
      <c r="AY47" s="11" t="n">
        <v>0.0572451705051194</v>
      </c>
      <c r="AZ47" s="11" t="n">
        <v>0.0547459242141848</v>
      </c>
      <c r="BA47" s="11" t="n">
        <v>0.052504695893635</v>
      </c>
      <c r="BB47" s="11" t="n">
        <v>0.0504407502252322</v>
      </c>
      <c r="BC47" s="11" t="n">
        <v>0.0486241645346054</v>
      </c>
      <c r="BD47" s="11" t="n">
        <v>0.0469414542475856</v>
      </c>
      <c r="BE47" s="11" t="n">
        <v>0.0455899136763954</v>
      </c>
      <c r="BF47" s="11" t="n">
        <v>0.0444078648804305</v>
      </c>
      <c r="BG47" s="11" t="n">
        <v>0.0434457880445697</v>
      </c>
      <c r="BH47" s="11" t="n">
        <v>0.0427220977945153</v>
      </c>
      <c r="BI47" s="11" t="n">
        <v>0.0421881206021258</v>
      </c>
      <c r="BJ47" s="11" t="n">
        <v>0.0417235753429196</v>
      </c>
      <c r="BK47" s="11" t="n">
        <v>0.0413881166836883</v>
      </c>
      <c r="BL47" s="11" t="n">
        <v>0.0411596515024323</v>
      </c>
      <c r="BM47" s="11" t="n">
        <v>0.0410012940919093</v>
      </c>
      <c r="BN47" s="11" t="n">
        <v>0.444434720850917</v>
      </c>
      <c r="BO47" s="11" t="n">
        <v>0.387903404812016</v>
      </c>
      <c r="BP47" s="11" t="n">
        <v>0.301293494596514</v>
      </c>
      <c r="BQ47" s="11" t="n">
        <v>0.244100978577454</v>
      </c>
    </row>
    <row r="48" customFormat="false" ht="13.8" hidden="false" customHeight="false" outlineLevel="0" collapsed="false">
      <c r="A48" s="11" t="s">
        <v>155</v>
      </c>
      <c r="B48" s="11" t="s">
        <v>146</v>
      </c>
      <c r="C48" s="11" t="s">
        <v>139</v>
      </c>
      <c r="D48" s="12"/>
      <c r="E48" s="11" t="n">
        <v>1.24775117152632</v>
      </c>
      <c r="F48" s="11" t="n">
        <v>1.21520447900567</v>
      </c>
      <c r="G48" s="11" t="n">
        <v>1.2333367005259</v>
      </c>
      <c r="H48" s="11" t="n">
        <v>1.29748994773686</v>
      </c>
      <c r="I48" s="11" t="n">
        <v>1.40526508020833</v>
      </c>
      <c r="J48" s="11" t="n">
        <v>1.5477509676949</v>
      </c>
      <c r="K48" s="11" t="n">
        <v>1.45573361897587</v>
      </c>
      <c r="L48" s="11" t="n">
        <v>1.45373801566731</v>
      </c>
      <c r="M48" s="11" t="n">
        <v>1.43333366182607</v>
      </c>
      <c r="N48" s="11" t="n">
        <v>1.4496442444495</v>
      </c>
      <c r="O48" s="11" t="n">
        <v>1.42004361609706</v>
      </c>
      <c r="P48" s="11" t="n">
        <v>1.35262656191271</v>
      </c>
      <c r="Q48" s="11" t="n">
        <v>1.32955318441563</v>
      </c>
      <c r="R48" s="11" t="n">
        <v>1.25674366888078</v>
      </c>
      <c r="S48" s="11" t="n">
        <v>1.20777864231287</v>
      </c>
      <c r="T48" s="11" t="n">
        <v>1.1492589007786</v>
      </c>
      <c r="U48" s="11" t="n">
        <v>1.0871101533855</v>
      </c>
      <c r="V48" s="11" t="n">
        <v>1.05149842568121</v>
      </c>
      <c r="W48" s="11" t="n">
        <v>0.890620745807167</v>
      </c>
      <c r="X48" s="11" t="n">
        <v>0.844914398363467</v>
      </c>
      <c r="Y48" s="11" t="n">
        <v>0.849296904955033</v>
      </c>
      <c r="Z48" s="11" t="n">
        <v>0.862456549136756</v>
      </c>
      <c r="AA48" s="11" t="n">
        <v>0.877239206896132</v>
      </c>
      <c r="AB48" s="11" t="n">
        <v>0.894622354167944</v>
      </c>
      <c r="AC48" s="11" t="n">
        <v>0.934204816450958</v>
      </c>
      <c r="AD48" s="11" t="n">
        <v>0.949799549113105</v>
      </c>
      <c r="AE48" s="11" t="n">
        <v>0.987987362907362</v>
      </c>
      <c r="AF48" s="11" t="n">
        <v>1.00785908615541</v>
      </c>
      <c r="AG48" s="11" t="n">
        <v>1.01707539544984</v>
      </c>
      <c r="AH48" s="11" t="n">
        <v>0.991684737617365</v>
      </c>
      <c r="AI48" s="11" t="n">
        <v>0.871004562768478</v>
      </c>
      <c r="AJ48" s="11" t="n">
        <v>0.922070495488821</v>
      </c>
      <c r="AK48" s="11" t="n">
        <v>0.917810058079544</v>
      </c>
      <c r="AL48" s="11" t="n">
        <v>0.895428540077311</v>
      </c>
      <c r="AM48" s="11" t="n">
        <v>0.962369082226078</v>
      </c>
      <c r="AN48" s="11" t="n">
        <v>0.957863691885561</v>
      </c>
      <c r="AO48" s="11" t="n">
        <v>0.940650820060079</v>
      </c>
      <c r="AP48" s="11" t="n">
        <v>0.921570784413183</v>
      </c>
      <c r="AQ48" s="11" t="n">
        <v>0.897843672333401</v>
      </c>
      <c r="AR48" s="11" t="n">
        <v>0.869491933650172</v>
      </c>
      <c r="AS48" s="11" t="n">
        <v>0.83786957293044</v>
      </c>
      <c r="AT48" s="11" t="n">
        <v>0.810258345089561</v>
      </c>
      <c r="AU48" s="11" t="n">
        <v>0.785267163383232</v>
      </c>
      <c r="AV48" s="11" t="n">
        <v>0.762943035281686</v>
      </c>
      <c r="AW48" s="11" t="n">
        <v>0.744410741645247</v>
      </c>
      <c r="AX48" s="11" t="n">
        <v>0.729205940391074</v>
      </c>
      <c r="AY48" s="11" t="n">
        <v>0.716558688772612</v>
      </c>
      <c r="AZ48" s="11" t="n">
        <v>0.7059381310408</v>
      </c>
      <c r="BA48" s="11" t="n">
        <v>0.697596618407828</v>
      </c>
      <c r="BB48" s="11" t="n">
        <v>0.691107090055717</v>
      </c>
      <c r="BC48" s="11" t="n">
        <v>0.685959456952279</v>
      </c>
      <c r="BD48" s="11" t="n">
        <v>0.680476971121132</v>
      </c>
      <c r="BE48" s="11" t="n">
        <v>0.676580738691276</v>
      </c>
      <c r="BF48" s="11" t="n">
        <v>0.673482466236612</v>
      </c>
      <c r="BG48" s="11" t="n">
        <v>0.671615244097823</v>
      </c>
      <c r="BH48" s="11" t="n">
        <v>0.670603688725513</v>
      </c>
      <c r="BI48" s="11" t="n">
        <v>0.670398676514809</v>
      </c>
      <c r="BJ48" s="11" t="n">
        <v>0.670366128320408</v>
      </c>
      <c r="BK48" s="11" t="n">
        <v>0.671255785945946</v>
      </c>
      <c r="BL48" s="11" t="n">
        <v>0.672943877409662</v>
      </c>
      <c r="BM48" s="11" t="n">
        <v>0.674357377996643</v>
      </c>
      <c r="BN48" s="11" t="n">
        <v>4.67788291866221</v>
      </c>
      <c r="BO48" s="11" t="n">
        <v>4.20073068738681</v>
      </c>
      <c r="BP48" s="11" t="n">
        <v>3.65905653713142</v>
      </c>
      <c r="BQ48" s="11" t="n">
        <v>3.43172087522823</v>
      </c>
    </row>
    <row r="49" customFormat="false" ht="13.8" hidden="false" customHeight="false" outlineLevel="0" collapsed="false">
      <c r="A49" s="11" t="s">
        <v>156</v>
      </c>
      <c r="B49" s="11" t="s">
        <v>146</v>
      </c>
      <c r="C49" s="11" t="s">
        <v>139</v>
      </c>
      <c r="D49" s="12"/>
      <c r="E49" s="11" t="n">
        <v>0</v>
      </c>
      <c r="F49" s="11" t="n">
        <v>0</v>
      </c>
      <c r="G49" s="11" t="n">
        <v>0.00188042082806889</v>
      </c>
      <c r="H49" s="11" t="n">
        <v>0.00758704295400536</v>
      </c>
      <c r="I49" s="11" t="n">
        <v>0.0191457948826392</v>
      </c>
      <c r="J49" s="11" t="n">
        <v>0.0440129237321048</v>
      </c>
      <c r="K49" s="11" t="n">
        <v>0.0831984283549992</v>
      </c>
      <c r="L49" s="11" t="n">
        <v>0.134713168733324</v>
      </c>
      <c r="M49" s="11" t="n">
        <v>0.197418800105336</v>
      </c>
      <c r="N49" s="11" t="n">
        <v>0.270937175183438</v>
      </c>
      <c r="O49" s="11" t="n">
        <v>0.35528562086966</v>
      </c>
      <c r="P49" s="11" t="n">
        <v>0.448308759564938</v>
      </c>
      <c r="Q49" s="11" t="n">
        <v>0.546724386901232</v>
      </c>
      <c r="R49" s="11" t="n">
        <v>0.654719622747928</v>
      </c>
      <c r="S49" s="11" t="n">
        <v>0.770609828397742</v>
      </c>
      <c r="T49" s="11" t="n">
        <v>0.892033502650136</v>
      </c>
      <c r="U49" s="11" t="n">
        <v>1.02536768411097</v>
      </c>
      <c r="V49" s="11" t="n">
        <v>1.14915773447391</v>
      </c>
      <c r="W49" s="11" t="n">
        <v>1.26245622236332</v>
      </c>
      <c r="X49" s="11" t="n">
        <v>1.36457098844073</v>
      </c>
      <c r="Y49" s="11" t="n">
        <v>1.46641832911833</v>
      </c>
      <c r="Z49" s="11" t="n">
        <v>1.56361602612155</v>
      </c>
      <c r="AA49" s="11" t="n">
        <v>1.65629950954921</v>
      </c>
      <c r="AB49" s="11" t="n">
        <v>1.74334686161733</v>
      </c>
      <c r="AC49" s="11" t="n">
        <v>1.81859099804214</v>
      </c>
      <c r="AD49" s="11" t="n">
        <v>1.87431155708176</v>
      </c>
      <c r="AE49" s="11" t="n">
        <v>1.90597752814991</v>
      </c>
      <c r="AF49" s="11" t="n">
        <v>1.89620238264926</v>
      </c>
      <c r="AG49" s="11" t="n">
        <v>1.85777666435984</v>
      </c>
      <c r="AH49" s="11" t="n">
        <v>1.80208979252264</v>
      </c>
      <c r="AI49" s="11" t="n">
        <v>1.73121633411536</v>
      </c>
      <c r="AJ49" s="11" t="n">
        <v>1.65076911278085</v>
      </c>
      <c r="AK49" s="11" t="n">
        <v>1.56354905048044</v>
      </c>
      <c r="AL49" s="11" t="n">
        <v>1.54536581930279</v>
      </c>
      <c r="AM49" s="11" t="n">
        <v>1.47106950346052</v>
      </c>
      <c r="AN49" s="11" t="n">
        <v>1.39626368932664</v>
      </c>
      <c r="AO49" s="11" t="n">
        <v>1.31786613891085</v>
      </c>
      <c r="AP49" s="11" t="n">
        <v>1.22986780324546</v>
      </c>
      <c r="AQ49" s="11" t="n">
        <v>1.11488740593472</v>
      </c>
      <c r="AR49" s="11" t="n">
        <v>0.990502951492197</v>
      </c>
      <c r="AS49" s="11" t="n">
        <v>0.874893717774117</v>
      </c>
      <c r="AT49" s="11" t="n">
        <v>0.770329386317954</v>
      </c>
      <c r="AU49" s="11" t="n">
        <v>0.668258774379641</v>
      </c>
      <c r="AV49" s="11" t="n">
        <v>0.568631066193108</v>
      </c>
      <c r="AW49" s="11" t="n">
        <v>0.471915551961704</v>
      </c>
      <c r="AX49" s="11" t="n">
        <v>0.379314562148834</v>
      </c>
      <c r="AY49" s="11" t="n">
        <v>0.291864620015232</v>
      </c>
      <c r="AZ49" s="11" t="n">
        <v>0.217022825325902</v>
      </c>
      <c r="BA49" s="11" t="n">
        <v>0.158783015254445</v>
      </c>
      <c r="BB49" s="11" t="n">
        <v>0.138083048960878</v>
      </c>
      <c r="BC49" s="11" t="n">
        <v>0.13127386563602</v>
      </c>
      <c r="BD49" s="11" t="n">
        <v>0.125733132345439</v>
      </c>
      <c r="BE49" s="11" t="n">
        <v>0.121332471132507</v>
      </c>
      <c r="BF49" s="11" t="n">
        <v>0.117878069446892</v>
      </c>
      <c r="BG49" s="11" t="n">
        <v>0.115139228134348</v>
      </c>
      <c r="BH49" s="11" t="n">
        <v>0.11286106641481</v>
      </c>
      <c r="BI49" s="11" t="n">
        <v>0.110837164406426</v>
      </c>
      <c r="BJ49" s="11" t="n">
        <v>0.109001549776858</v>
      </c>
      <c r="BK49" s="11" t="n">
        <v>0.107342636546884</v>
      </c>
      <c r="BL49" s="11" t="n">
        <v>0.105853206687643</v>
      </c>
      <c r="BM49" s="11" t="n">
        <v>0.104536550128314</v>
      </c>
      <c r="BN49" s="11" t="n">
        <v>6.96043295424627</v>
      </c>
      <c r="BO49" s="11" t="n">
        <v>4.41887223589863</v>
      </c>
      <c r="BP49" s="11" t="n">
        <v>1.92874862564478</v>
      </c>
      <c r="BQ49" s="11" t="n">
        <v>0.67520553332929</v>
      </c>
    </row>
    <row r="50" customFormat="false" ht="13.8" hidden="false" customHeight="false" outlineLevel="0" collapsed="false">
      <c r="A50" s="11" t="s">
        <v>157</v>
      </c>
      <c r="B50" s="11" t="s">
        <v>146</v>
      </c>
      <c r="C50" s="11" t="s">
        <v>139</v>
      </c>
      <c r="D50" s="12"/>
      <c r="E50" s="11" t="n">
        <v>0</v>
      </c>
      <c r="F50" s="11" t="n">
        <v>0</v>
      </c>
      <c r="G50" s="11" t="n">
        <v>0</v>
      </c>
      <c r="H50" s="11" t="n">
        <v>0</v>
      </c>
      <c r="I50" s="11" t="n">
        <v>0</v>
      </c>
      <c r="J50" s="11" t="n">
        <v>0</v>
      </c>
      <c r="K50" s="11" t="n">
        <v>0</v>
      </c>
      <c r="L50" s="11" t="n">
        <v>0</v>
      </c>
      <c r="M50" s="11" t="n">
        <v>0</v>
      </c>
      <c r="N50" s="11" t="n">
        <v>0</v>
      </c>
      <c r="O50" s="11" t="n">
        <v>0</v>
      </c>
      <c r="P50" s="11" t="n">
        <v>0</v>
      </c>
      <c r="Q50" s="11" t="n">
        <v>0</v>
      </c>
      <c r="R50" s="11" t="n">
        <v>0</v>
      </c>
      <c r="S50" s="11" t="n">
        <v>0</v>
      </c>
      <c r="T50" s="11" t="n">
        <v>0</v>
      </c>
      <c r="U50" s="11" t="n">
        <v>0</v>
      </c>
      <c r="V50" s="11" t="n">
        <v>0</v>
      </c>
      <c r="W50" s="11" t="n">
        <v>0</v>
      </c>
      <c r="X50" s="11" t="n">
        <v>0</v>
      </c>
      <c r="Y50" s="11" t="n">
        <v>0</v>
      </c>
      <c r="Z50" s="11" t="n">
        <v>0</v>
      </c>
      <c r="AA50" s="11" t="n">
        <v>0</v>
      </c>
      <c r="AB50" s="11" t="n">
        <v>0</v>
      </c>
      <c r="AC50" s="11" t="n">
        <v>0</v>
      </c>
      <c r="AD50" s="11" t="n">
        <v>0</v>
      </c>
      <c r="AE50" s="11" t="n">
        <v>0</v>
      </c>
      <c r="AF50" s="11" t="n">
        <v>0</v>
      </c>
      <c r="AG50" s="11" t="n">
        <v>0</v>
      </c>
      <c r="AH50" s="11" t="n">
        <v>0</v>
      </c>
      <c r="AI50" s="11" t="n">
        <v>0</v>
      </c>
      <c r="AJ50" s="11" t="n">
        <v>0</v>
      </c>
      <c r="AK50" s="11" t="n">
        <v>0</v>
      </c>
      <c r="AL50" s="11" t="n">
        <v>0</v>
      </c>
      <c r="AM50" s="11" t="n">
        <v>0</v>
      </c>
      <c r="AN50" s="11" t="n">
        <v>0</v>
      </c>
      <c r="AO50" s="11" t="n">
        <v>0</v>
      </c>
      <c r="AP50" s="11" t="n">
        <v>0</v>
      </c>
      <c r="AQ50" s="11" t="n">
        <v>0</v>
      </c>
      <c r="AR50" s="11" t="n">
        <v>0</v>
      </c>
      <c r="AS50" s="11" t="n">
        <v>0</v>
      </c>
      <c r="AT50" s="11" t="n">
        <v>0</v>
      </c>
      <c r="AU50" s="11" t="n">
        <v>0</v>
      </c>
      <c r="AV50" s="11" t="n">
        <v>0</v>
      </c>
      <c r="AW50" s="11" t="n">
        <v>0</v>
      </c>
      <c r="AX50" s="11" t="n">
        <v>0</v>
      </c>
      <c r="AY50" s="11" t="n">
        <v>0</v>
      </c>
      <c r="AZ50" s="11" t="n">
        <v>0</v>
      </c>
      <c r="BA50" s="11" t="n">
        <v>0</v>
      </c>
      <c r="BB50" s="11" t="n">
        <v>0</v>
      </c>
      <c r="BC50" s="11" t="n">
        <v>0</v>
      </c>
      <c r="BD50" s="11" t="n">
        <v>0</v>
      </c>
      <c r="BE50" s="11" t="n">
        <v>0</v>
      </c>
      <c r="BF50" s="11" t="n">
        <v>0</v>
      </c>
      <c r="BG50" s="11" t="n">
        <v>0</v>
      </c>
      <c r="BH50" s="11" t="n">
        <v>0</v>
      </c>
      <c r="BI50" s="11" t="n">
        <v>0</v>
      </c>
      <c r="BJ50" s="11" t="n">
        <v>0</v>
      </c>
      <c r="BK50" s="11" t="n">
        <v>0</v>
      </c>
      <c r="BL50" s="11" t="n">
        <v>0</v>
      </c>
      <c r="BM50" s="11" t="n">
        <v>0</v>
      </c>
      <c r="BN50" s="11" t="n">
        <v>0</v>
      </c>
      <c r="BO50" s="11" t="n">
        <v>0</v>
      </c>
      <c r="BP50" s="11" t="n">
        <v>0</v>
      </c>
      <c r="BQ50" s="11" t="n">
        <v>0</v>
      </c>
    </row>
    <row r="51" customFormat="false" ht="13.8" hidden="false" customHeight="false" outlineLevel="0" collapsed="false">
      <c r="A51" s="11" t="s">
        <v>158</v>
      </c>
      <c r="B51" s="11" t="s">
        <v>146</v>
      </c>
      <c r="C51" s="11" t="s">
        <v>139</v>
      </c>
      <c r="D51" s="12"/>
      <c r="E51" s="11" t="n">
        <v>0</v>
      </c>
      <c r="F51" s="11" t="n">
        <v>0</v>
      </c>
      <c r="G51" s="11" t="n">
        <v>0</v>
      </c>
      <c r="H51" s="11" t="n">
        <v>0</v>
      </c>
      <c r="I51" s="11" t="n">
        <v>0</v>
      </c>
      <c r="J51" s="11" t="n">
        <v>0</v>
      </c>
      <c r="K51" s="11" t="n">
        <v>0</v>
      </c>
      <c r="L51" s="11" t="n">
        <v>0</v>
      </c>
      <c r="M51" s="11" t="n">
        <v>0</v>
      </c>
      <c r="N51" s="11" t="n">
        <v>0</v>
      </c>
      <c r="O51" s="11" t="n">
        <v>0</v>
      </c>
      <c r="P51" s="11" t="n">
        <v>0</v>
      </c>
      <c r="Q51" s="11" t="n">
        <v>0</v>
      </c>
      <c r="R51" s="11" t="n">
        <v>0</v>
      </c>
      <c r="S51" s="11" t="n">
        <v>0</v>
      </c>
      <c r="T51" s="11" t="n">
        <v>0</v>
      </c>
      <c r="U51" s="11" t="n">
        <v>0</v>
      </c>
      <c r="V51" s="11" t="n">
        <v>0</v>
      </c>
      <c r="W51" s="11" t="n">
        <v>0</v>
      </c>
      <c r="X51" s="11" t="n">
        <v>0</v>
      </c>
      <c r="Y51" s="11" t="n">
        <v>0</v>
      </c>
      <c r="Z51" s="11" t="n">
        <v>0</v>
      </c>
      <c r="AA51" s="11" t="n">
        <v>0</v>
      </c>
      <c r="AB51" s="11" t="n">
        <v>0</v>
      </c>
      <c r="AC51" s="11" t="n">
        <v>0</v>
      </c>
      <c r="AD51" s="11" t="n">
        <v>0</v>
      </c>
      <c r="AE51" s="11" t="n">
        <v>0</v>
      </c>
      <c r="AF51" s="11" t="n">
        <v>0</v>
      </c>
      <c r="AG51" s="11" t="n">
        <v>0</v>
      </c>
      <c r="AH51" s="11" t="n">
        <v>0</v>
      </c>
      <c r="AI51" s="11" t="n">
        <v>0</v>
      </c>
      <c r="AJ51" s="11" t="n">
        <v>0</v>
      </c>
      <c r="AK51" s="11" t="n">
        <v>0</v>
      </c>
      <c r="AL51" s="11" t="n">
        <v>0</v>
      </c>
      <c r="AM51" s="11" t="n">
        <v>0</v>
      </c>
      <c r="AN51" s="11" t="n">
        <v>0</v>
      </c>
      <c r="AO51" s="11" t="n">
        <v>0</v>
      </c>
      <c r="AP51" s="11" t="n">
        <v>0</v>
      </c>
      <c r="AQ51" s="11" t="n">
        <v>0</v>
      </c>
      <c r="AR51" s="11" t="n">
        <v>0</v>
      </c>
      <c r="AS51" s="11" t="n">
        <v>0</v>
      </c>
      <c r="AT51" s="11" t="n">
        <v>0</v>
      </c>
      <c r="AU51" s="11" t="n">
        <v>0</v>
      </c>
      <c r="AV51" s="11" t="n">
        <v>0</v>
      </c>
      <c r="AW51" s="11" t="n">
        <v>0</v>
      </c>
      <c r="AX51" s="11" t="n">
        <v>0</v>
      </c>
      <c r="AY51" s="11" t="n">
        <v>0</v>
      </c>
      <c r="AZ51" s="11" t="n">
        <v>0</v>
      </c>
      <c r="BA51" s="11" t="n">
        <v>0</v>
      </c>
      <c r="BB51" s="11" t="n">
        <v>0</v>
      </c>
      <c r="BC51" s="11" t="n">
        <v>0</v>
      </c>
      <c r="BD51" s="11" t="n">
        <v>0</v>
      </c>
      <c r="BE51" s="11" t="n">
        <v>0</v>
      </c>
      <c r="BF51" s="11" t="n">
        <v>0</v>
      </c>
      <c r="BG51" s="11" t="n">
        <v>0</v>
      </c>
      <c r="BH51" s="11" t="n">
        <v>0</v>
      </c>
      <c r="BI51" s="11" t="n">
        <v>0</v>
      </c>
      <c r="BJ51" s="11" t="n">
        <v>0</v>
      </c>
      <c r="BK51" s="11" t="n">
        <v>0</v>
      </c>
      <c r="BL51" s="11" t="n">
        <v>0</v>
      </c>
      <c r="BM51" s="11" t="n">
        <v>0</v>
      </c>
      <c r="BN51" s="11" t="n">
        <v>0</v>
      </c>
      <c r="BO51" s="11" t="n">
        <v>0</v>
      </c>
      <c r="BP51" s="11" t="n">
        <v>0</v>
      </c>
      <c r="BQ51" s="11" t="n">
        <v>0</v>
      </c>
    </row>
    <row r="52" customFormat="false" ht="13.8" hidden="false" customHeight="false" outlineLevel="0" collapsed="false">
      <c r="A52" s="11" t="s">
        <v>159</v>
      </c>
      <c r="B52" s="11" t="s">
        <v>146</v>
      </c>
      <c r="C52" s="11" t="s">
        <v>139</v>
      </c>
      <c r="D52" s="12"/>
      <c r="E52" s="11" t="n">
        <v>0</v>
      </c>
      <c r="F52" s="11" t="n">
        <v>0</v>
      </c>
      <c r="G52" s="11" t="n">
        <v>0</v>
      </c>
      <c r="H52" s="11" t="n">
        <v>0</v>
      </c>
      <c r="I52" s="11" t="n">
        <v>0</v>
      </c>
      <c r="J52" s="11" t="n">
        <v>0</v>
      </c>
      <c r="K52" s="11" t="n">
        <v>0</v>
      </c>
      <c r="L52" s="11" t="n">
        <v>0</v>
      </c>
      <c r="M52" s="11" t="n">
        <v>0</v>
      </c>
      <c r="N52" s="11" t="n">
        <v>0</v>
      </c>
      <c r="O52" s="11" t="n">
        <v>0</v>
      </c>
      <c r="P52" s="11" t="n">
        <v>0</v>
      </c>
      <c r="Q52" s="11" t="n">
        <v>0</v>
      </c>
      <c r="R52" s="11" t="n">
        <v>0</v>
      </c>
      <c r="S52" s="11" t="n">
        <v>0</v>
      </c>
      <c r="T52" s="11" t="n">
        <v>0</v>
      </c>
      <c r="U52" s="11" t="n">
        <v>0</v>
      </c>
      <c r="V52" s="11" t="n">
        <v>0</v>
      </c>
      <c r="W52" s="11" t="n">
        <v>0</v>
      </c>
      <c r="X52" s="11" t="n">
        <v>0</v>
      </c>
      <c r="Y52" s="11" t="n">
        <v>0</v>
      </c>
      <c r="Z52" s="11" t="n">
        <v>0</v>
      </c>
      <c r="AA52" s="11" t="n">
        <v>0</v>
      </c>
      <c r="AB52" s="11" t="n">
        <v>0</v>
      </c>
      <c r="AC52" s="11" t="n">
        <v>0</v>
      </c>
      <c r="AD52" s="11" t="n">
        <v>0</v>
      </c>
      <c r="AE52" s="11" t="n">
        <v>0</v>
      </c>
      <c r="AF52" s="11" t="n">
        <v>0</v>
      </c>
      <c r="AG52" s="11" t="n">
        <v>0</v>
      </c>
      <c r="AH52" s="11" t="n">
        <v>0</v>
      </c>
      <c r="AI52" s="11" t="n">
        <v>0</v>
      </c>
      <c r="AJ52" s="11" t="n">
        <v>0</v>
      </c>
      <c r="AK52" s="11" t="n">
        <v>0</v>
      </c>
      <c r="AL52" s="11" t="n">
        <v>0</v>
      </c>
      <c r="AM52" s="11" t="n">
        <v>0</v>
      </c>
      <c r="AN52" s="11" t="n">
        <v>0</v>
      </c>
      <c r="AO52" s="11" t="n">
        <v>0</v>
      </c>
      <c r="AP52" s="11" t="n">
        <v>0</v>
      </c>
      <c r="AQ52" s="11" t="n">
        <v>0</v>
      </c>
      <c r="AR52" s="11" t="n">
        <v>0</v>
      </c>
      <c r="AS52" s="11" t="n">
        <v>0</v>
      </c>
      <c r="AT52" s="11" t="n">
        <v>0</v>
      </c>
      <c r="AU52" s="11" t="n">
        <v>0</v>
      </c>
      <c r="AV52" s="11" t="n">
        <v>0</v>
      </c>
      <c r="AW52" s="11" t="n">
        <v>0</v>
      </c>
      <c r="AX52" s="11" t="n">
        <v>0</v>
      </c>
      <c r="AY52" s="11" t="n">
        <v>0</v>
      </c>
      <c r="AZ52" s="11" t="n">
        <v>0</v>
      </c>
      <c r="BA52" s="11" t="n">
        <v>0</v>
      </c>
      <c r="BB52" s="11" t="n">
        <v>0</v>
      </c>
      <c r="BC52" s="11" t="n">
        <v>0</v>
      </c>
      <c r="BD52" s="11" t="n">
        <v>0</v>
      </c>
      <c r="BE52" s="11" t="n">
        <v>0</v>
      </c>
      <c r="BF52" s="11" t="n">
        <v>0</v>
      </c>
      <c r="BG52" s="11" t="n">
        <v>0</v>
      </c>
      <c r="BH52" s="11" t="n">
        <v>0</v>
      </c>
      <c r="BI52" s="11" t="n">
        <v>0</v>
      </c>
      <c r="BJ52" s="11" t="n">
        <v>0</v>
      </c>
      <c r="BK52" s="11" t="n">
        <v>0</v>
      </c>
      <c r="BL52" s="11" t="n">
        <v>0</v>
      </c>
      <c r="BM52" s="11" t="n">
        <v>0</v>
      </c>
      <c r="BN52" s="11" t="n">
        <v>0</v>
      </c>
      <c r="BO52" s="11" t="n">
        <v>0</v>
      </c>
      <c r="BP52" s="11" t="n">
        <v>0</v>
      </c>
      <c r="BQ52" s="11" t="n">
        <v>0</v>
      </c>
    </row>
    <row r="53" customFormat="false" ht="35" hidden="false" customHeight="true" outlineLevel="0" collapsed="false">
      <c r="A53" s="11" t="s">
        <v>153</v>
      </c>
      <c r="B53" s="11" t="s">
        <v>147</v>
      </c>
      <c r="C53" s="11" t="s">
        <v>139</v>
      </c>
      <c r="D53" s="12"/>
      <c r="E53" s="11" t="n">
        <v>202.925144914795</v>
      </c>
      <c r="F53" s="11" t="n">
        <v>199.516918824262</v>
      </c>
      <c r="G53" s="11" t="n">
        <v>187.483507490296</v>
      </c>
      <c r="H53" s="11" t="n">
        <v>170.120299944348</v>
      </c>
      <c r="I53" s="11" t="n">
        <v>165.920447741627</v>
      </c>
      <c r="J53" s="11" t="n">
        <v>162.773744683292</v>
      </c>
      <c r="K53" s="11" t="n">
        <v>162.490940740338</v>
      </c>
      <c r="L53" s="11" t="n">
        <v>150.009710153503</v>
      </c>
      <c r="M53" s="11" t="n">
        <v>154.936122707304</v>
      </c>
      <c r="N53" s="11" t="n">
        <v>146.961182400372</v>
      </c>
      <c r="O53" s="11" t="n">
        <v>158.34345607755</v>
      </c>
      <c r="P53" s="11" t="n">
        <v>169.128263590636</v>
      </c>
      <c r="Q53" s="11" t="n">
        <v>164.79330213876</v>
      </c>
      <c r="R53" s="11" t="n">
        <v>173.741771082966</v>
      </c>
      <c r="S53" s="11" t="n">
        <v>173.415669888689</v>
      </c>
      <c r="T53" s="11" t="n">
        <v>172.628253680816</v>
      </c>
      <c r="U53" s="11" t="n">
        <v>181.495272717739</v>
      </c>
      <c r="V53" s="11" t="n">
        <v>177.255442439562</v>
      </c>
      <c r="W53" s="11" t="n">
        <v>172.179728828093</v>
      </c>
      <c r="X53" s="11" t="n">
        <v>150.485297048087</v>
      </c>
      <c r="Y53" s="11" t="n">
        <v>156.739758480986</v>
      </c>
      <c r="Z53" s="11" t="n">
        <v>143.977068008974</v>
      </c>
      <c r="AA53" s="11" t="n">
        <v>157.803670160879</v>
      </c>
      <c r="AB53" s="11" t="n">
        <v>146.804046659553</v>
      </c>
      <c r="AC53" s="11" t="n">
        <v>123.656345322885</v>
      </c>
      <c r="AD53" s="11" t="n">
        <v>103.512225563956</v>
      </c>
      <c r="AE53" s="11" t="n">
        <v>81.6417470103834</v>
      </c>
      <c r="AF53" s="11" t="n">
        <v>71.6421735070408</v>
      </c>
      <c r="AG53" s="11" t="n">
        <v>65.2247025510129</v>
      </c>
      <c r="AH53" s="11" t="n">
        <v>57.2107943404523</v>
      </c>
      <c r="AI53" s="11" t="n">
        <v>48.8895522781251</v>
      </c>
      <c r="AJ53" s="11" t="n">
        <v>54.0735317710656</v>
      </c>
      <c r="AK53" s="11" t="n">
        <v>54.4168494661009</v>
      </c>
      <c r="AL53" s="11" t="n">
        <v>43.3309010511944</v>
      </c>
      <c r="AM53" s="11" t="n">
        <v>37.8563107926445</v>
      </c>
      <c r="AN53" s="11" t="n">
        <v>26.0387548995241</v>
      </c>
      <c r="AO53" s="11" t="n">
        <v>23.7649599136919</v>
      </c>
      <c r="AP53" s="11" t="n">
        <v>21.3778573961621</v>
      </c>
      <c r="AQ53" s="11" t="n">
        <v>20.7956701825748</v>
      </c>
      <c r="AR53" s="11" t="n">
        <v>22.2827298006062</v>
      </c>
      <c r="AS53" s="11" t="n">
        <v>24.3389095717703</v>
      </c>
      <c r="AT53" s="11" t="n">
        <v>24.9234102297846</v>
      </c>
      <c r="AU53" s="11" t="n">
        <v>25.8801149621685</v>
      </c>
      <c r="AV53" s="11" t="n">
        <v>26.6777507369232</v>
      </c>
      <c r="AW53" s="11" t="n">
        <v>27.7547681055717</v>
      </c>
      <c r="AX53" s="11" t="n">
        <v>30.417130748468</v>
      </c>
      <c r="AY53" s="11" t="n">
        <v>32.3299674815604</v>
      </c>
      <c r="AZ53" s="11" t="n">
        <v>33.7927665723369</v>
      </c>
      <c r="BA53" s="11" t="n">
        <v>34.3421859449884</v>
      </c>
      <c r="BB53" s="11" t="n">
        <v>34.7434569995714</v>
      </c>
      <c r="BC53" s="11" t="n">
        <v>35.2576750111861</v>
      </c>
      <c r="BD53" s="11" t="n">
        <v>36.6029133532702</v>
      </c>
      <c r="BE53" s="11" t="n">
        <v>38.3229862019989</v>
      </c>
      <c r="BF53" s="11" t="n">
        <v>39.5737038894566</v>
      </c>
      <c r="BG53" s="11" t="n">
        <v>40.7884496788323</v>
      </c>
      <c r="BH53" s="11" t="n">
        <v>41.4117027308824</v>
      </c>
      <c r="BI53" s="11" t="n">
        <v>42.4446076502553</v>
      </c>
      <c r="BJ53" s="11" t="n">
        <v>43.493641232898</v>
      </c>
      <c r="BK53" s="11" t="n">
        <v>44.954893540039</v>
      </c>
      <c r="BL53" s="11" t="n">
        <v>43.6238726451778</v>
      </c>
      <c r="BM53" s="11" t="n">
        <v>41.827301031435</v>
      </c>
      <c r="BN53" s="11" t="n">
        <v>152.368784053217</v>
      </c>
      <c r="BO53" s="11" t="n">
        <v>118.220834746905</v>
      </c>
      <c r="BP53" s="11" t="n">
        <v>150.97238364486</v>
      </c>
      <c r="BQ53" s="11" t="n">
        <v>179.269217511015</v>
      </c>
    </row>
    <row r="54" customFormat="false" ht="13.8" hidden="false" customHeight="false" outlineLevel="0" collapsed="false">
      <c r="A54" s="11" t="s">
        <v>154</v>
      </c>
      <c r="B54" s="11" t="s">
        <v>147</v>
      </c>
      <c r="C54" s="11" t="s">
        <v>139</v>
      </c>
      <c r="D54" s="12"/>
      <c r="E54" s="11" t="n">
        <v>0.0807658468752224</v>
      </c>
      <c r="F54" s="11" t="n">
        <v>0.0758682193535982</v>
      </c>
      <c r="G54" s="11" t="n">
        <v>0.072060780972748</v>
      </c>
      <c r="H54" s="11" t="n">
        <v>0.0709247278374882</v>
      </c>
      <c r="I54" s="11" t="n">
        <v>0.0742130274626892</v>
      </c>
      <c r="J54" s="11" t="n">
        <v>0.0748808413651573</v>
      </c>
      <c r="K54" s="11" t="n">
        <v>0.0758501153320661</v>
      </c>
      <c r="L54" s="11" t="n">
        <v>0.0732454613383986</v>
      </c>
      <c r="M54" s="11" t="n">
        <v>0.0774811747973583</v>
      </c>
      <c r="N54" s="11" t="n">
        <v>0.0793672420704026</v>
      </c>
      <c r="O54" s="11" t="n">
        <v>0.0846894349742251</v>
      </c>
      <c r="P54" s="11" t="n">
        <v>0.0917537201635203</v>
      </c>
      <c r="Q54" s="11" t="n">
        <v>0.0907429907796953</v>
      </c>
      <c r="R54" s="11" t="n">
        <v>0.0941428339572569</v>
      </c>
      <c r="S54" s="11" t="n">
        <v>0.0957489905159302</v>
      </c>
      <c r="T54" s="11" t="n">
        <v>0.113282858428791</v>
      </c>
      <c r="U54" s="11" t="n">
        <v>0.11589050223186</v>
      </c>
      <c r="V54" s="11" t="n">
        <v>0.116504889160943</v>
      </c>
      <c r="W54" s="11" t="n">
        <v>0.125539427564436</v>
      </c>
      <c r="X54" s="11" t="n">
        <v>0.12220727307455</v>
      </c>
      <c r="Y54" s="11" t="n">
        <v>0.128518199478691</v>
      </c>
      <c r="Z54" s="11" t="n">
        <v>0.127600337628883</v>
      </c>
      <c r="AA54" s="11" t="n">
        <v>0.140664350919096</v>
      </c>
      <c r="AB54" s="11" t="n">
        <v>0.15318369461605</v>
      </c>
      <c r="AC54" s="11" t="n">
        <v>0.175985198212602</v>
      </c>
      <c r="AD54" s="11" t="n">
        <v>0.211350425583013</v>
      </c>
      <c r="AE54" s="11" t="n">
        <v>0.220751805792714</v>
      </c>
      <c r="AF54" s="11" t="n">
        <v>0.222246360185226</v>
      </c>
      <c r="AG54" s="11" t="n">
        <v>0.249516926143695</v>
      </c>
      <c r="AH54" s="11" t="n">
        <v>0.272413021693873</v>
      </c>
      <c r="AI54" s="11" t="n">
        <v>0.274611055142341</v>
      </c>
      <c r="AJ54" s="11" t="n">
        <v>0.29493541718883</v>
      </c>
      <c r="AK54" s="11" t="n">
        <v>0.268806108474926</v>
      </c>
      <c r="AL54" s="11" t="n">
        <v>0.261550530209527</v>
      </c>
      <c r="AM54" s="11" t="n">
        <v>0.37970982641791</v>
      </c>
      <c r="AN54" s="11" t="n">
        <v>0.373080293883178</v>
      </c>
      <c r="AO54" s="11" t="n">
        <v>0.363912584270171</v>
      </c>
      <c r="AP54" s="11" t="n">
        <v>0.336006971935081</v>
      </c>
      <c r="AQ54" s="11" t="n">
        <v>0.247508682101897</v>
      </c>
      <c r="AR54" s="11" t="n">
        <v>0.2412573927303</v>
      </c>
      <c r="AS54" s="11" t="n">
        <v>0.226850323086535</v>
      </c>
      <c r="AT54" s="11" t="n">
        <v>0.225613618435988</v>
      </c>
      <c r="AU54" s="11" t="n">
        <v>0.181972407712395</v>
      </c>
      <c r="AV54" s="11" t="n">
        <v>0.182567680996711</v>
      </c>
      <c r="AW54" s="11" t="n">
        <v>0.182735847896778</v>
      </c>
      <c r="AX54" s="11" t="n">
        <v>0.160309067991302</v>
      </c>
      <c r="AY54" s="11" t="n">
        <v>0.158625371933815</v>
      </c>
      <c r="AZ54" s="11" t="n">
        <v>0.155206932589289</v>
      </c>
      <c r="BA54" s="11" t="n">
        <v>0.157324794769764</v>
      </c>
      <c r="BB54" s="11" t="n">
        <v>0.15797154465283</v>
      </c>
      <c r="BC54" s="11" t="n">
        <v>0.157179569242113</v>
      </c>
      <c r="BD54" s="11" t="n">
        <v>0.152543560485125</v>
      </c>
      <c r="BE54" s="11" t="n">
        <v>0.144308561708012</v>
      </c>
      <c r="BF54" s="11" t="n">
        <v>0.141391786442025</v>
      </c>
      <c r="BG54" s="11" t="n">
        <v>0.14214992681255</v>
      </c>
      <c r="BH54" s="11" t="n">
        <v>0.143125056378785</v>
      </c>
      <c r="BI54" s="11" t="n">
        <v>0.143936418640943</v>
      </c>
      <c r="BJ54" s="11" t="n">
        <v>0.144816189699995</v>
      </c>
      <c r="BK54" s="11" t="n">
        <v>0.145908199471215</v>
      </c>
      <c r="BL54" s="11" t="n">
        <v>0.145780068369648</v>
      </c>
      <c r="BM54" s="11" t="n">
        <v>0.145435281767843</v>
      </c>
      <c r="BN54" s="11" t="n">
        <v>1.71426020671587</v>
      </c>
      <c r="BO54" s="11" t="n">
        <v>1.12320242406712</v>
      </c>
      <c r="BP54" s="11" t="n">
        <v>0.839444901407895</v>
      </c>
      <c r="BQ54" s="11" t="n">
        <v>0.769328030857844</v>
      </c>
    </row>
    <row r="55" customFormat="false" ht="13.8" hidden="false" customHeight="false" outlineLevel="0" collapsed="false">
      <c r="A55" s="11" t="s">
        <v>155</v>
      </c>
      <c r="B55" s="11" t="s">
        <v>147</v>
      </c>
      <c r="C55" s="11" t="s">
        <v>139</v>
      </c>
      <c r="D55" s="12"/>
      <c r="E55" s="11" t="n">
        <v>0.984987691558184</v>
      </c>
      <c r="F55" s="11" t="n">
        <v>0.970048388417935</v>
      </c>
      <c r="G55" s="11" t="n">
        <v>0.910617933265949</v>
      </c>
      <c r="H55" s="11" t="n">
        <v>0.771978697012648</v>
      </c>
      <c r="I55" s="11" t="n">
        <v>0.737321268443208</v>
      </c>
      <c r="J55" s="11" t="n">
        <v>0.709397209019641</v>
      </c>
      <c r="K55" s="11" t="n">
        <v>0.6612887889585</v>
      </c>
      <c r="L55" s="11" t="n">
        <v>0.568914048515286</v>
      </c>
      <c r="M55" s="11" t="n">
        <v>0.58638959258624</v>
      </c>
      <c r="N55" s="11" t="n">
        <v>0.513498687002719</v>
      </c>
      <c r="O55" s="11" t="n">
        <v>0.574804572248271</v>
      </c>
      <c r="P55" s="11" t="n">
        <v>0.632355500344122</v>
      </c>
      <c r="Q55" s="11" t="n">
        <v>0.597481798965218</v>
      </c>
      <c r="R55" s="11" t="n">
        <v>0.652412845375287</v>
      </c>
      <c r="S55" s="11" t="n">
        <v>0.634687425943725</v>
      </c>
      <c r="T55" s="11" t="n">
        <v>0.672744029106066</v>
      </c>
      <c r="U55" s="11" t="n">
        <v>0.726225392133559</v>
      </c>
      <c r="V55" s="11" t="n">
        <v>0.673849210882455</v>
      </c>
      <c r="W55" s="11" t="n">
        <v>0.637459708292023</v>
      </c>
      <c r="X55" s="11" t="n">
        <v>0.548443507955349</v>
      </c>
      <c r="Y55" s="11" t="n">
        <v>0.577056570762781</v>
      </c>
      <c r="Z55" s="11" t="n">
        <v>0.580114063030644</v>
      </c>
      <c r="AA55" s="11" t="n">
        <v>0.739849019698221</v>
      </c>
      <c r="AB55" s="11" t="n">
        <v>0.714748016401047</v>
      </c>
      <c r="AC55" s="11" t="n">
        <v>0.62046564927776</v>
      </c>
      <c r="AD55" s="11" t="n">
        <v>0.568838988121384</v>
      </c>
      <c r="AE55" s="11" t="n">
        <v>0.39786726674901</v>
      </c>
      <c r="AF55" s="11" t="n">
        <v>0.365313374041686</v>
      </c>
      <c r="AG55" s="11" t="n">
        <v>0.377926428764218</v>
      </c>
      <c r="AH55" s="11" t="n">
        <v>0.368168520875393</v>
      </c>
      <c r="AI55" s="11" t="n">
        <v>0.365816544629617</v>
      </c>
      <c r="AJ55" s="11" t="n">
        <v>0.393674218221008</v>
      </c>
      <c r="AK55" s="11" t="n">
        <v>0.35714368175873</v>
      </c>
      <c r="AL55" s="11" t="n">
        <v>0.341045187738303</v>
      </c>
      <c r="AM55" s="11" t="n">
        <v>0.486334882072618</v>
      </c>
      <c r="AN55" s="11" t="n">
        <v>0.469075455218145</v>
      </c>
      <c r="AO55" s="11" t="n">
        <v>0.457871749829562</v>
      </c>
      <c r="AP55" s="11" t="n">
        <v>0.423064372388104</v>
      </c>
      <c r="AQ55" s="11" t="n">
        <v>0.311873779756835</v>
      </c>
      <c r="AR55" s="11" t="n">
        <v>0.303753986540508</v>
      </c>
      <c r="AS55" s="11" t="n">
        <v>0.285270009524733</v>
      </c>
      <c r="AT55" s="11" t="n">
        <v>0.283614740971304</v>
      </c>
      <c r="AU55" s="11" t="n">
        <v>0.228450402325953</v>
      </c>
      <c r="AV55" s="11" t="n">
        <v>0.229054613220379</v>
      </c>
      <c r="AW55" s="11" t="n">
        <v>0.229079816586014</v>
      </c>
      <c r="AX55" s="11" t="n">
        <v>0.200395731097978</v>
      </c>
      <c r="AY55" s="11" t="n">
        <v>0.197963436627929</v>
      </c>
      <c r="AZ55" s="11" t="n">
        <v>0.193417252726667</v>
      </c>
      <c r="BA55" s="11" t="n">
        <v>0.195981079136799</v>
      </c>
      <c r="BB55" s="11" t="n">
        <v>0.196729879210459</v>
      </c>
      <c r="BC55" s="11" t="n">
        <v>0.195590097450061</v>
      </c>
      <c r="BD55" s="11" t="n">
        <v>0.189530737049675</v>
      </c>
      <c r="BE55" s="11" t="n">
        <v>0.17885667024711</v>
      </c>
      <c r="BF55" s="11" t="n">
        <v>0.174935429023201</v>
      </c>
      <c r="BG55" s="11" t="n">
        <v>0.175565911603301</v>
      </c>
      <c r="BH55" s="11" t="n">
        <v>0.176399409510302</v>
      </c>
      <c r="BI55" s="11" t="n">
        <v>0.177237606162305</v>
      </c>
      <c r="BJ55" s="11" t="n">
        <v>0.178156385145863</v>
      </c>
      <c r="BK55" s="11" t="n">
        <v>0.17932438937741</v>
      </c>
      <c r="BL55" s="11" t="n">
        <v>0.179255258298669</v>
      </c>
      <c r="BM55" s="11" t="n">
        <v>0.17897559827619</v>
      </c>
      <c r="BN55" s="11" t="n">
        <v>2.17739164724673</v>
      </c>
      <c r="BO55" s="11" t="n">
        <v>1.41296291911933</v>
      </c>
      <c r="BP55" s="11" t="n">
        <v>1.04991085025897</v>
      </c>
      <c r="BQ55" s="11" t="n">
        <v>0.956688463094104</v>
      </c>
    </row>
    <row r="56" customFormat="false" ht="13.8" hidden="false" customHeight="false" outlineLevel="0" collapsed="false">
      <c r="A56" s="11" t="s">
        <v>156</v>
      </c>
      <c r="B56" s="11" t="s">
        <v>147</v>
      </c>
      <c r="C56" s="11" t="s">
        <v>139</v>
      </c>
      <c r="D56" s="12"/>
      <c r="E56" s="11" t="n">
        <v>0</v>
      </c>
      <c r="F56" s="11" t="n">
        <v>0</v>
      </c>
      <c r="G56" s="11" t="n">
        <v>0</v>
      </c>
      <c r="H56" s="11" t="n">
        <v>0</v>
      </c>
      <c r="I56" s="11" t="n">
        <v>0</v>
      </c>
      <c r="J56" s="11" t="n">
        <v>0</v>
      </c>
      <c r="K56" s="11" t="n">
        <v>0</v>
      </c>
      <c r="L56" s="11" t="n">
        <v>0</v>
      </c>
      <c r="M56" s="11" t="n">
        <v>0</v>
      </c>
      <c r="N56" s="11" t="n">
        <v>0</v>
      </c>
      <c r="O56" s="11" t="n">
        <v>0</v>
      </c>
      <c r="P56" s="11" t="n">
        <v>0</v>
      </c>
      <c r="Q56" s="11" t="n">
        <v>0</v>
      </c>
      <c r="R56" s="11" t="n">
        <v>0</v>
      </c>
      <c r="S56" s="11" t="n">
        <v>0</v>
      </c>
      <c r="T56" s="11" t="n">
        <v>0</v>
      </c>
      <c r="U56" s="11" t="n">
        <v>0</v>
      </c>
      <c r="V56" s="11" t="n">
        <v>0</v>
      </c>
      <c r="W56" s="11" t="n">
        <v>0</v>
      </c>
      <c r="X56" s="11" t="n">
        <v>0</v>
      </c>
      <c r="Y56" s="11" t="n">
        <v>0</v>
      </c>
      <c r="Z56" s="11" t="n">
        <v>0</v>
      </c>
      <c r="AA56" s="11" t="n">
        <v>0</v>
      </c>
      <c r="AB56" s="11" t="n">
        <v>0</v>
      </c>
      <c r="AC56" s="11" t="n">
        <v>0</v>
      </c>
      <c r="AD56" s="11" t="n">
        <v>0</v>
      </c>
      <c r="AE56" s="11" t="n">
        <v>0</v>
      </c>
      <c r="AF56" s="11" t="n">
        <v>0</v>
      </c>
      <c r="AG56" s="11" t="n">
        <v>0</v>
      </c>
      <c r="AH56" s="11" t="n">
        <v>0</v>
      </c>
      <c r="AI56" s="11" t="n">
        <v>0</v>
      </c>
      <c r="AJ56" s="11" t="n">
        <v>0</v>
      </c>
      <c r="AK56" s="11" t="n">
        <v>0</v>
      </c>
      <c r="AL56" s="11" t="n">
        <v>0</v>
      </c>
      <c r="AM56" s="11" t="n">
        <v>0</v>
      </c>
      <c r="AN56" s="11" t="n">
        <v>0</v>
      </c>
      <c r="AO56" s="11" t="n">
        <v>0</v>
      </c>
      <c r="AP56" s="11" t="n">
        <v>0</v>
      </c>
      <c r="AQ56" s="11" t="n">
        <v>0</v>
      </c>
      <c r="AR56" s="11" t="n">
        <v>0</v>
      </c>
      <c r="AS56" s="11" t="n">
        <v>0</v>
      </c>
      <c r="AT56" s="11" t="n">
        <v>0</v>
      </c>
      <c r="AU56" s="11" t="n">
        <v>0</v>
      </c>
      <c r="AV56" s="11" t="n">
        <v>0</v>
      </c>
      <c r="AW56" s="11" t="n">
        <v>0</v>
      </c>
      <c r="AX56" s="11" t="n">
        <v>0</v>
      </c>
      <c r="AY56" s="11" t="n">
        <v>0</v>
      </c>
      <c r="AZ56" s="11" t="n">
        <v>0</v>
      </c>
      <c r="BA56" s="11" t="n">
        <v>0</v>
      </c>
      <c r="BB56" s="11" t="n">
        <v>0</v>
      </c>
      <c r="BC56" s="11" t="n">
        <v>0</v>
      </c>
      <c r="BD56" s="11" t="n">
        <v>0</v>
      </c>
      <c r="BE56" s="11" t="n">
        <v>0</v>
      </c>
      <c r="BF56" s="11" t="n">
        <v>0</v>
      </c>
      <c r="BG56" s="11" t="n">
        <v>0</v>
      </c>
      <c r="BH56" s="11" t="n">
        <v>0</v>
      </c>
      <c r="BI56" s="11" t="n">
        <v>0</v>
      </c>
      <c r="BJ56" s="11" t="n">
        <v>0</v>
      </c>
      <c r="BK56" s="11" t="n">
        <v>0</v>
      </c>
      <c r="BL56" s="11" t="n">
        <v>0</v>
      </c>
      <c r="BM56" s="11" t="n">
        <v>0</v>
      </c>
      <c r="BN56" s="11" t="n">
        <v>0</v>
      </c>
      <c r="BO56" s="11" t="n">
        <v>0</v>
      </c>
      <c r="BP56" s="11" t="n">
        <v>0</v>
      </c>
      <c r="BQ56" s="11" t="n">
        <v>0</v>
      </c>
    </row>
    <row r="57" customFormat="false" ht="13.8" hidden="false" customHeight="false" outlineLevel="0" collapsed="false">
      <c r="A57" s="11" t="s">
        <v>157</v>
      </c>
      <c r="B57" s="11" t="s">
        <v>147</v>
      </c>
      <c r="C57" s="11" t="s">
        <v>139</v>
      </c>
      <c r="D57" s="12"/>
      <c r="E57" s="11" t="n">
        <v>0</v>
      </c>
      <c r="F57" s="11" t="n">
        <v>0</v>
      </c>
      <c r="G57" s="11" t="n">
        <v>0</v>
      </c>
      <c r="H57" s="11" t="n">
        <v>0</v>
      </c>
      <c r="I57" s="11" t="n">
        <v>0</v>
      </c>
      <c r="J57" s="11" t="n">
        <v>0</v>
      </c>
      <c r="K57" s="11" t="n">
        <v>0</v>
      </c>
      <c r="L57" s="11" t="n">
        <v>0</v>
      </c>
      <c r="M57" s="11" t="n">
        <v>0</v>
      </c>
      <c r="N57" s="11" t="n">
        <v>0</v>
      </c>
      <c r="O57" s="11" t="n">
        <v>0</v>
      </c>
      <c r="P57" s="11" t="n">
        <v>0</v>
      </c>
      <c r="Q57" s="11" t="n">
        <v>0</v>
      </c>
      <c r="R57" s="11" t="n">
        <v>0</v>
      </c>
      <c r="S57" s="11" t="n">
        <v>0</v>
      </c>
      <c r="T57" s="11" t="n">
        <v>0</v>
      </c>
      <c r="U57" s="11" t="n">
        <v>0</v>
      </c>
      <c r="V57" s="11" t="n">
        <v>0</v>
      </c>
      <c r="W57" s="11" t="n">
        <v>0</v>
      </c>
      <c r="X57" s="11" t="n">
        <v>0</v>
      </c>
      <c r="Y57" s="11" t="n">
        <v>0</v>
      </c>
      <c r="Z57" s="11" t="n">
        <v>0</v>
      </c>
      <c r="AA57" s="11" t="n">
        <v>0</v>
      </c>
      <c r="AB57" s="11" t="n">
        <v>0</v>
      </c>
      <c r="AC57" s="11" t="n">
        <v>0</v>
      </c>
      <c r="AD57" s="11" t="n">
        <v>0</v>
      </c>
      <c r="AE57" s="11" t="n">
        <v>0</v>
      </c>
      <c r="AF57" s="11" t="n">
        <v>0</v>
      </c>
      <c r="AG57" s="11" t="n">
        <v>0</v>
      </c>
      <c r="AH57" s="11" t="n">
        <v>0</v>
      </c>
      <c r="AI57" s="11" t="n">
        <v>0</v>
      </c>
      <c r="AJ57" s="11" t="n">
        <v>0</v>
      </c>
      <c r="AK57" s="11" t="n">
        <v>0</v>
      </c>
      <c r="AL57" s="11" t="n">
        <v>0</v>
      </c>
      <c r="AM57" s="11" t="n">
        <v>0</v>
      </c>
      <c r="AN57" s="11" t="n">
        <v>0</v>
      </c>
      <c r="AO57" s="11" t="n">
        <v>0</v>
      </c>
      <c r="AP57" s="11" t="n">
        <v>0</v>
      </c>
      <c r="AQ57" s="11" t="n">
        <v>0</v>
      </c>
      <c r="AR57" s="11" t="n">
        <v>0</v>
      </c>
      <c r="AS57" s="11" t="n">
        <v>0</v>
      </c>
      <c r="AT57" s="11" t="n">
        <v>0</v>
      </c>
      <c r="AU57" s="11" t="n">
        <v>0</v>
      </c>
      <c r="AV57" s="11" t="n">
        <v>0</v>
      </c>
      <c r="AW57" s="11" t="n">
        <v>0</v>
      </c>
      <c r="AX57" s="11" t="n">
        <v>0</v>
      </c>
      <c r="AY57" s="11" t="n">
        <v>0</v>
      </c>
      <c r="AZ57" s="11" t="n">
        <v>0</v>
      </c>
      <c r="BA57" s="11" t="n">
        <v>0</v>
      </c>
      <c r="BB57" s="11" t="n">
        <v>0</v>
      </c>
      <c r="BC57" s="11" t="n">
        <v>0</v>
      </c>
      <c r="BD57" s="11" t="n">
        <v>0</v>
      </c>
      <c r="BE57" s="11" t="n">
        <v>0</v>
      </c>
      <c r="BF57" s="11" t="n">
        <v>0</v>
      </c>
      <c r="BG57" s="11" t="n">
        <v>0</v>
      </c>
      <c r="BH57" s="11" t="n">
        <v>0</v>
      </c>
      <c r="BI57" s="11" t="n">
        <v>0</v>
      </c>
      <c r="BJ57" s="11" t="n">
        <v>0</v>
      </c>
      <c r="BK57" s="11" t="n">
        <v>0</v>
      </c>
      <c r="BL57" s="11" t="n">
        <v>0</v>
      </c>
      <c r="BM57" s="11" t="n">
        <v>0</v>
      </c>
      <c r="BN57" s="11" t="n">
        <v>0</v>
      </c>
      <c r="BO57" s="11" t="n">
        <v>0</v>
      </c>
      <c r="BP57" s="11" t="n">
        <v>0</v>
      </c>
      <c r="BQ57" s="11" t="n">
        <v>0</v>
      </c>
    </row>
    <row r="58" customFormat="false" ht="13.8" hidden="false" customHeight="false" outlineLevel="0" collapsed="false">
      <c r="A58" s="11" t="s">
        <v>158</v>
      </c>
      <c r="B58" s="11" t="s">
        <v>147</v>
      </c>
      <c r="C58" s="11" t="s">
        <v>139</v>
      </c>
      <c r="D58" s="12"/>
      <c r="E58" s="11" t="n">
        <v>0</v>
      </c>
      <c r="F58" s="11" t="n">
        <v>0</v>
      </c>
      <c r="G58" s="11" t="n">
        <v>0</v>
      </c>
      <c r="H58" s="11" t="n">
        <v>0</v>
      </c>
      <c r="I58" s="11" t="n">
        <v>0</v>
      </c>
      <c r="J58" s="11" t="n">
        <v>0</v>
      </c>
      <c r="K58" s="11" t="n">
        <v>0</v>
      </c>
      <c r="L58" s="11" t="n">
        <v>0</v>
      </c>
      <c r="M58" s="11" t="n">
        <v>0</v>
      </c>
      <c r="N58" s="11" t="n">
        <v>0</v>
      </c>
      <c r="O58" s="11" t="n">
        <v>0</v>
      </c>
      <c r="P58" s="11" t="n">
        <v>0</v>
      </c>
      <c r="Q58" s="11" t="n">
        <v>0</v>
      </c>
      <c r="R58" s="11" t="n">
        <v>0</v>
      </c>
      <c r="S58" s="11" t="n">
        <v>0</v>
      </c>
      <c r="T58" s="11" t="n">
        <v>0</v>
      </c>
      <c r="U58" s="11" t="n">
        <v>0</v>
      </c>
      <c r="V58" s="11" t="n">
        <v>0</v>
      </c>
      <c r="W58" s="11" t="n">
        <v>0</v>
      </c>
      <c r="X58" s="11" t="n">
        <v>0</v>
      </c>
      <c r="Y58" s="11" t="n">
        <v>0</v>
      </c>
      <c r="Z58" s="11" t="n">
        <v>0</v>
      </c>
      <c r="AA58" s="11" t="n">
        <v>0</v>
      </c>
      <c r="AB58" s="11" t="n">
        <v>0</v>
      </c>
      <c r="AC58" s="11" t="n">
        <v>0</v>
      </c>
      <c r="AD58" s="11" t="n">
        <v>0</v>
      </c>
      <c r="AE58" s="11" t="n">
        <v>0</v>
      </c>
      <c r="AF58" s="11" t="n">
        <v>0</v>
      </c>
      <c r="AG58" s="11" t="n">
        <v>0</v>
      </c>
      <c r="AH58" s="11" t="n">
        <v>0</v>
      </c>
      <c r="AI58" s="11" t="n">
        <v>0</v>
      </c>
      <c r="AJ58" s="11" t="n">
        <v>0</v>
      </c>
      <c r="AK58" s="11" t="n">
        <v>0</v>
      </c>
      <c r="AL58" s="11" t="n">
        <v>0</v>
      </c>
      <c r="AM58" s="11" t="n">
        <v>0</v>
      </c>
      <c r="AN58" s="11" t="n">
        <v>0</v>
      </c>
      <c r="AO58" s="11" t="n">
        <v>0</v>
      </c>
      <c r="AP58" s="11" t="n">
        <v>0</v>
      </c>
      <c r="AQ58" s="11" t="n">
        <v>0</v>
      </c>
      <c r="AR58" s="11" t="n">
        <v>0</v>
      </c>
      <c r="AS58" s="11" t="n">
        <v>0</v>
      </c>
      <c r="AT58" s="11" t="n">
        <v>0</v>
      </c>
      <c r="AU58" s="11" t="n">
        <v>0</v>
      </c>
      <c r="AV58" s="11" t="n">
        <v>0</v>
      </c>
      <c r="AW58" s="11" t="n">
        <v>0</v>
      </c>
      <c r="AX58" s="11" t="n">
        <v>0</v>
      </c>
      <c r="AY58" s="11" t="n">
        <v>0</v>
      </c>
      <c r="AZ58" s="11" t="n">
        <v>0</v>
      </c>
      <c r="BA58" s="11" t="n">
        <v>0</v>
      </c>
      <c r="BB58" s="11" t="n">
        <v>0</v>
      </c>
      <c r="BC58" s="11" t="n">
        <v>0</v>
      </c>
      <c r="BD58" s="11" t="n">
        <v>0</v>
      </c>
      <c r="BE58" s="11" t="n">
        <v>0</v>
      </c>
      <c r="BF58" s="11" t="n">
        <v>0</v>
      </c>
      <c r="BG58" s="11" t="n">
        <v>0</v>
      </c>
      <c r="BH58" s="11" t="n">
        <v>0</v>
      </c>
      <c r="BI58" s="11" t="n">
        <v>0</v>
      </c>
      <c r="BJ58" s="11" t="n">
        <v>0</v>
      </c>
      <c r="BK58" s="11" t="n">
        <v>0</v>
      </c>
      <c r="BL58" s="11" t="n">
        <v>0</v>
      </c>
      <c r="BM58" s="11" t="n">
        <v>0</v>
      </c>
      <c r="BN58" s="11" t="n">
        <v>0</v>
      </c>
      <c r="BO58" s="11" t="n">
        <v>0</v>
      </c>
      <c r="BP58" s="11" t="n">
        <v>0</v>
      </c>
      <c r="BQ58" s="11" t="n">
        <v>0</v>
      </c>
    </row>
    <row r="59" customFormat="false" ht="13.8" hidden="false" customHeight="false" outlineLevel="0" collapsed="false">
      <c r="A59" s="11" t="s">
        <v>159</v>
      </c>
      <c r="B59" s="11" t="s">
        <v>147</v>
      </c>
      <c r="C59" s="11" t="s">
        <v>139</v>
      </c>
      <c r="D59" s="12"/>
      <c r="E59" s="11" t="n">
        <v>0</v>
      </c>
      <c r="F59" s="11" t="n">
        <v>0</v>
      </c>
      <c r="G59" s="11" t="n">
        <v>0</v>
      </c>
      <c r="H59" s="11" t="n">
        <v>0</v>
      </c>
      <c r="I59" s="11" t="n">
        <v>0</v>
      </c>
      <c r="J59" s="11" t="n">
        <v>0</v>
      </c>
      <c r="K59" s="11" t="n">
        <v>0</v>
      </c>
      <c r="L59" s="11" t="n">
        <v>0</v>
      </c>
      <c r="M59" s="11" t="n">
        <v>0</v>
      </c>
      <c r="N59" s="11" t="n">
        <v>0</v>
      </c>
      <c r="O59" s="11" t="n">
        <v>0</v>
      </c>
      <c r="P59" s="11" t="n">
        <v>0</v>
      </c>
      <c r="Q59" s="11" t="n">
        <v>0</v>
      </c>
      <c r="R59" s="11" t="n">
        <v>0</v>
      </c>
      <c r="S59" s="11" t="n">
        <v>0</v>
      </c>
      <c r="T59" s="11" t="n">
        <v>0</v>
      </c>
      <c r="U59" s="11" t="n">
        <v>0</v>
      </c>
      <c r="V59" s="11" t="n">
        <v>0</v>
      </c>
      <c r="W59" s="11" t="n">
        <v>0</v>
      </c>
      <c r="X59" s="11" t="n">
        <v>0</v>
      </c>
      <c r="Y59" s="11" t="n">
        <v>0</v>
      </c>
      <c r="Z59" s="11" t="n">
        <v>0</v>
      </c>
      <c r="AA59" s="11" t="n">
        <v>0</v>
      </c>
      <c r="AB59" s="11" t="n">
        <v>0</v>
      </c>
      <c r="AC59" s="11" t="n">
        <v>0</v>
      </c>
      <c r="AD59" s="11" t="n">
        <v>0</v>
      </c>
      <c r="AE59" s="11" t="n">
        <v>0</v>
      </c>
      <c r="AF59" s="11" t="n">
        <v>0</v>
      </c>
      <c r="AG59" s="11" t="n">
        <v>0</v>
      </c>
      <c r="AH59" s="11" t="n">
        <v>0</v>
      </c>
      <c r="AI59" s="11" t="n">
        <v>0</v>
      </c>
      <c r="AJ59" s="11" t="n">
        <v>0</v>
      </c>
      <c r="AK59" s="11" t="n">
        <v>0</v>
      </c>
      <c r="AL59" s="11" t="n">
        <v>0</v>
      </c>
      <c r="AM59" s="11" t="n">
        <v>0</v>
      </c>
      <c r="AN59" s="11" t="n">
        <v>0</v>
      </c>
      <c r="AO59" s="11" t="n">
        <v>0</v>
      </c>
      <c r="AP59" s="11" t="n">
        <v>0</v>
      </c>
      <c r="AQ59" s="11" t="n">
        <v>0</v>
      </c>
      <c r="AR59" s="11" t="n">
        <v>0</v>
      </c>
      <c r="AS59" s="11" t="n">
        <v>0</v>
      </c>
      <c r="AT59" s="11" t="n">
        <v>0</v>
      </c>
      <c r="AU59" s="11" t="n">
        <v>0</v>
      </c>
      <c r="AV59" s="11" t="n">
        <v>0</v>
      </c>
      <c r="AW59" s="11" t="n">
        <v>0</v>
      </c>
      <c r="AX59" s="11" t="n">
        <v>0</v>
      </c>
      <c r="AY59" s="11" t="n">
        <v>0</v>
      </c>
      <c r="AZ59" s="11" t="n">
        <v>0</v>
      </c>
      <c r="BA59" s="11" t="n">
        <v>0</v>
      </c>
      <c r="BB59" s="11" t="n">
        <v>0</v>
      </c>
      <c r="BC59" s="11" t="n">
        <v>0</v>
      </c>
      <c r="BD59" s="11" t="n">
        <v>0</v>
      </c>
      <c r="BE59" s="11" t="n">
        <v>0</v>
      </c>
      <c r="BF59" s="11" t="n">
        <v>0</v>
      </c>
      <c r="BG59" s="11" t="n">
        <v>0</v>
      </c>
      <c r="BH59" s="11" t="n">
        <v>0</v>
      </c>
      <c r="BI59" s="11" t="n">
        <v>0</v>
      </c>
      <c r="BJ59" s="11" t="n">
        <v>0</v>
      </c>
      <c r="BK59" s="11" t="n">
        <v>0</v>
      </c>
      <c r="BL59" s="11" t="n">
        <v>0</v>
      </c>
      <c r="BM59" s="11" t="n">
        <v>0</v>
      </c>
      <c r="BN59" s="11" t="n">
        <v>0</v>
      </c>
      <c r="BO59" s="11" t="n">
        <v>0</v>
      </c>
      <c r="BP59" s="11" t="n">
        <v>0</v>
      </c>
      <c r="BQ59" s="11" t="n">
        <v>0</v>
      </c>
    </row>
    <row r="60" customFormat="false" ht="35" hidden="false" customHeight="true" outlineLevel="0" collapsed="false">
      <c r="A60" s="11" t="s">
        <v>153</v>
      </c>
      <c r="B60" s="11" t="s">
        <v>148</v>
      </c>
      <c r="C60" s="11" t="s">
        <v>139</v>
      </c>
      <c r="D60" s="12"/>
      <c r="E60" s="11" t="n">
        <v>38.4532735357832</v>
      </c>
      <c r="F60" s="11" t="n">
        <v>38.8970709548349</v>
      </c>
      <c r="G60" s="11" t="n">
        <v>40.3550275449765</v>
      </c>
      <c r="H60" s="11" t="n">
        <v>42.2449314103799</v>
      </c>
      <c r="I60" s="11" t="n">
        <v>42.8333951029481</v>
      </c>
      <c r="J60" s="11" t="n">
        <v>44.8089808487253</v>
      </c>
      <c r="K60" s="11" t="n">
        <v>46.3281611522522</v>
      </c>
      <c r="L60" s="11" t="n">
        <v>46.52511035803</v>
      </c>
      <c r="M60" s="11" t="n">
        <v>47.369204544064</v>
      </c>
      <c r="N60" s="11" t="n">
        <v>44.5445598166256</v>
      </c>
      <c r="O60" s="11" t="n">
        <v>44.3638404944155</v>
      </c>
      <c r="P60" s="11" t="n">
        <v>45.2687172121012</v>
      </c>
      <c r="Q60" s="11" t="n">
        <v>46.4042094619986</v>
      </c>
      <c r="R60" s="11" t="n">
        <v>44.6395343893326</v>
      </c>
      <c r="S60" s="11" t="n">
        <v>43.3486454198416</v>
      </c>
      <c r="T60" s="11" t="n">
        <v>44.711370397205</v>
      </c>
      <c r="U60" s="11" t="n">
        <v>40.7529065336831</v>
      </c>
      <c r="V60" s="11" t="n">
        <v>39.9055399833763</v>
      </c>
      <c r="W60" s="11" t="n">
        <v>38.7746341816776</v>
      </c>
      <c r="X60" s="11" t="n">
        <v>37.4864580345672</v>
      </c>
      <c r="Y60" s="11" t="n">
        <v>38.2715697249807</v>
      </c>
      <c r="Z60" s="11" t="n">
        <v>36.6569765086395</v>
      </c>
      <c r="AA60" s="11" t="n">
        <v>33.0495444460171</v>
      </c>
      <c r="AB60" s="11" t="n">
        <v>32.22765142299</v>
      </c>
      <c r="AC60" s="11" t="n">
        <v>30.9617199817623</v>
      </c>
      <c r="AD60" s="11" t="n">
        <v>31.9235808338268</v>
      </c>
      <c r="AE60" s="11" t="n">
        <v>31.8776840345228</v>
      </c>
      <c r="AF60" s="11" t="n">
        <v>31.5071946522893</v>
      </c>
      <c r="AG60" s="11" t="n">
        <v>30.7546015731279</v>
      </c>
      <c r="AH60" s="11" t="n">
        <v>30.7224216912773</v>
      </c>
      <c r="AI60" s="11" t="n">
        <v>27.8536702487712</v>
      </c>
      <c r="AJ60" s="11" t="n">
        <v>25.5702836532907</v>
      </c>
      <c r="AK60" s="11" t="n">
        <v>26.0502469717723</v>
      </c>
      <c r="AL60" s="11" t="n">
        <v>25.1173529598091</v>
      </c>
      <c r="AM60" s="11" t="n">
        <v>25.8935075034339</v>
      </c>
      <c r="AN60" s="11" t="n">
        <v>25.3591531964141</v>
      </c>
      <c r="AO60" s="11" t="n">
        <v>24.3902518816532</v>
      </c>
      <c r="AP60" s="11" t="n">
        <v>23.7479663659864</v>
      </c>
      <c r="AQ60" s="11" t="n">
        <v>22.8828362251595</v>
      </c>
      <c r="AR60" s="11" t="n">
        <v>22.0274374498712</v>
      </c>
      <c r="AS60" s="11" t="n">
        <v>20.7750516189756</v>
      </c>
      <c r="AT60" s="11" t="n">
        <v>19.4733569919342</v>
      </c>
      <c r="AU60" s="11" t="n">
        <v>18.7211287052697</v>
      </c>
      <c r="AV60" s="11" t="n">
        <v>17.7265688193994</v>
      </c>
      <c r="AW60" s="11" t="n">
        <v>17.3007194827299</v>
      </c>
      <c r="AX60" s="11" t="n">
        <v>16.8790005437262</v>
      </c>
      <c r="AY60" s="11" t="n">
        <v>14.9583788538668</v>
      </c>
      <c r="AZ60" s="11" t="n">
        <v>14.5897147548272</v>
      </c>
      <c r="BA60" s="11" t="n">
        <v>14.0607710109031</v>
      </c>
      <c r="BB60" s="11" t="n">
        <v>13.2946767006776</v>
      </c>
      <c r="BC60" s="11" t="n">
        <v>12.953240229139</v>
      </c>
      <c r="BD60" s="11" t="n">
        <v>11.7569463219433</v>
      </c>
      <c r="BE60" s="11" t="n">
        <v>10.9966788530604</v>
      </c>
      <c r="BF60" s="11" t="n">
        <v>10.6887751977215</v>
      </c>
      <c r="BG60" s="11" t="n">
        <v>10.6222718177622</v>
      </c>
      <c r="BH60" s="11" t="n">
        <v>10.5497688091298</v>
      </c>
      <c r="BI60" s="11" t="n">
        <v>10.5019808007122</v>
      </c>
      <c r="BJ60" s="11" t="n">
        <v>10.4402695668624</v>
      </c>
      <c r="BK60" s="11" t="n">
        <v>10.1741350282479</v>
      </c>
      <c r="BL60" s="11" t="n">
        <v>9.7854717543975</v>
      </c>
      <c r="BM60" s="11" t="n">
        <v>9.61484989273325</v>
      </c>
      <c r="BN60" s="11" t="n">
        <v>124.508231907297</v>
      </c>
      <c r="BO60" s="11" t="n">
        <v>103.87981099121</v>
      </c>
      <c r="BP60" s="11" t="n">
        <v>81.4543824545496</v>
      </c>
      <c r="BQ60" s="11" t="n">
        <v>63.0623131157234</v>
      </c>
    </row>
    <row r="61" customFormat="false" ht="13.8" hidden="false" customHeight="false" outlineLevel="0" collapsed="false">
      <c r="A61" s="11" t="s">
        <v>154</v>
      </c>
      <c r="B61" s="11" t="s">
        <v>148</v>
      </c>
      <c r="C61" s="11" t="s">
        <v>139</v>
      </c>
      <c r="D61" s="12"/>
      <c r="E61" s="11" t="n">
        <v>38.4113671371213</v>
      </c>
      <c r="F61" s="11" t="n">
        <v>38.8552949596067</v>
      </c>
      <c r="G61" s="11" t="n">
        <v>38.5388169594933</v>
      </c>
      <c r="H61" s="11" t="n">
        <v>36.3124596311372</v>
      </c>
      <c r="I61" s="11" t="n">
        <v>28.232131676279</v>
      </c>
      <c r="J61" s="11" t="n">
        <v>29.6414159904184</v>
      </c>
      <c r="K61" s="11" t="n">
        <v>27.8829795223239</v>
      </c>
      <c r="L61" s="11" t="n">
        <v>25.7455049253289</v>
      </c>
      <c r="M61" s="11" t="n">
        <v>23.2122609443943</v>
      </c>
      <c r="N61" s="11" t="n">
        <v>20.3132652404913</v>
      </c>
      <c r="O61" s="11" t="n">
        <v>18.4436648749154</v>
      </c>
      <c r="P61" s="11" t="n">
        <v>17.0663795785256</v>
      </c>
      <c r="Q61" s="11" t="n">
        <v>16.3296163421728</v>
      </c>
      <c r="R61" s="11" t="n">
        <v>14.6805789198246</v>
      </c>
      <c r="S61" s="11" t="n">
        <v>14.4152101095488</v>
      </c>
      <c r="T61" s="11" t="n">
        <v>12.4198814796067</v>
      </c>
      <c r="U61" s="11" t="n">
        <v>11.524216293937</v>
      </c>
      <c r="V61" s="11" t="n">
        <v>10.9999589214287</v>
      </c>
      <c r="W61" s="11" t="n">
        <v>10.5235987732716</v>
      </c>
      <c r="X61" s="11" t="n">
        <v>10.4437304627498</v>
      </c>
      <c r="Y61" s="11" t="n">
        <v>10.1736952847273</v>
      </c>
      <c r="Z61" s="11" t="n">
        <v>9.81980125317811</v>
      </c>
      <c r="AA61" s="11" t="n">
        <v>9.77195424867432</v>
      </c>
      <c r="AB61" s="11" t="n">
        <v>8.42520664069005</v>
      </c>
      <c r="AC61" s="11" t="n">
        <v>7.99459469658534</v>
      </c>
      <c r="AD61" s="11" t="n">
        <v>7.49479149240327</v>
      </c>
      <c r="AE61" s="11" t="n">
        <v>6.3574637700282</v>
      </c>
      <c r="AF61" s="11" t="n">
        <v>6.22502968613926</v>
      </c>
      <c r="AG61" s="11" t="n">
        <v>6.19852458510589</v>
      </c>
      <c r="AH61" s="11" t="n">
        <v>6.23642575869865</v>
      </c>
      <c r="AI61" s="11" t="n">
        <v>5.73448917987444</v>
      </c>
      <c r="AJ61" s="11" t="n">
        <v>5.38414606680817</v>
      </c>
      <c r="AK61" s="11" t="n">
        <v>5.0278931495823</v>
      </c>
      <c r="AL61" s="11" t="n">
        <v>4.74375700324067</v>
      </c>
      <c r="AM61" s="11" t="n">
        <v>4.67597743631238</v>
      </c>
      <c r="AN61" s="11" t="n">
        <v>4.6159992904027</v>
      </c>
      <c r="AO61" s="11" t="n">
        <v>4.52093286412528</v>
      </c>
      <c r="AP61" s="11" t="n">
        <v>4.43591791982527</v>
      </c>
      <c r="AQ61" s="11" t="n">
        <v>4.3423821851938</v>
      </c>
      <c r="AR61" s="11" t="n">
        <v>4.27442125817932</v>
      </c>
      <c r="AS61" s="11" t="n">
        <v>4.16866120726879</v>
      </c>
      <c r="AT61" s="11" t="n">
        <v>4.09053173529426</v>
      </c>
      <c r="AU61" s="11" t="n">
        <v>4.00843197200564</v>
      </c>
      <c r="AV61" s="11" t="n">
        <v>3.92718694142287</v>
      </c>
      <c r="AW61" s="11" t="n">
        <v>3.9172366220898</v>
      </c>
      <c r="AX61" s="11" t="n">
        <v>3.9091574330219</v>
      </c>
      <c r="AY61" s="11" t="n">
        <v>3.85052616746469</v>
      </c>
      <c r="AZ61" s="11" t="n">
        <v>3.80318768135592</v>
      </c>
      <c r="BA61" s="11" t="n">
        <v>3.79946556695699</v>
      </c>
      <c r="BB61" s="11" t="n">
        <v>3.78135236544748</v>
      </c>
      <c r="BC61" s="11" t="n">
        <v>3.77414727983816</v>
      </c>
      <c r="BD61" s="11" t="n">
        <v>3.71340403050185</v>
      </c>
      <c r="BE61" s="11" t="n">
        <v>3.67524147535817</v>
      </c>
      <c r="BF61" s="11" t="n">
        <v>3.66748021825021</v>
      </c>
      <c r="BG61" s="11" t="n">
        <v>3.66389018362794</v>
      </c>
      <c r="BH61" s="11" t="n">
        <v>3.65965833714824</v>
      </c>
      <c r="BI61" s="11" t="n">
        <v>3.65673903214454</v>
      </c>
      <c r="BJ61" s="11" t="n">
        <v>3.64499168535556</v>
      </c>
      <c r="BK61" s="11" t="n">
        <v>3.63192481987655</v>
      </c>
      <c r="BL61" s="11" t="n">
        <v>3.61835288375795</v>
      </c>
      <c r="BM61" s="11" t="n">
        <v>3.61167675643658</v>
      </c>
      <c r="BN61" s="11" t="n">
        <v>22.9925845139063</v>
      </c>
      <c r="BO61" s="11" t="n">
        <v>20.8844283579418</v>
      </c>
      <c r="BP61" s="11" t="n">
        <v>19.4072948453552</v>
      </c>
      <c r="BQ61" s="11" t="n">
        <v>18.7436107181027</v>
      </c>
    </row>
    <row r="62" customFormat="false" ht="13.8" hidden="false" customHeight="false" outlineLevel="0" collapsed="false">
      <c r="A62" s="11" t="s">
        <v>155</v>
      </c>
      <c r="B62" s="11" t="s">
        <v>148</v>
      </c>
      <c r="C62" s="11" t="s">
        <v>139</v>
      </c>
      <c r="D62" s="12"/>
      <c r="E62" s="11" t="n">
        <v>0.327529834632892</v>
      </c>
      <c r="F62" s="11" t="n">
        <v>0.328440613603458</v>
      </c>
      <c r="G62" s="11" t="n">
        <v>0.346941591172276</v>
      </c>
      <c r="H62" s="11" t="n">
        <v>0.370102061974011</v>
      </c>
      <c r="I62" s="11" t="n">
        <v>0.383325489271052</v>
      </c>
      <c r="J62" s="11" t="n">
        <v>0.395821145308571</v>
      </c>
      <c r="K62" s="11" t="n">
        <v>0.405433508660126</v>
      </c>
      <c r="L62" s="11" t="n">
        <v>0.431244608642593</v>
      </c>
      <c r="M62" s="11" t="n">
        <v>0.462370751553247</v>
      </c>
      <c r="N62" s="11" t="n">
        <v>0.465674861763337</v>
      </c>
      <c r="O62" s="11" t="n">
        <v>0.4612675193309</v>
      </c>
      <c r="P62" s="11" t="n">
        <v>0.483097076990961</v>
      </c>
      <c r="Q62" s="11" t="n">
        <v>0.516281064762011</v>
      </c>
      <c r="R62" s="11" t="n">
        <v>0.457112318825789</v>
      </c>
      <c r="S62" s="11" t="n">
        <v>0.444058731429182</v>
      </c>
      <c r="T62" s="11" t="n">
        <v>0.436507739993298</v>
      </c>
      <c r="U62" s="11" t="n">
        <v>0.401754757991856</v>
      </c>
      <c r="V62" s="11" t="n">
        <v>0.389802316592871</v>
      </c>
      <c r="W62" s="11" t="n">
        <v>0.379880436716058</v>
      </c>
      <c r="X62" s="11" t="n">
        <v>0.372770687895259</v>
      </c>
      <c r="Y62" s="11" t="n">
        <v>0.365140849631604</v>
      </c>
      <c r="Z62" s="11" t="n">
        <v>0.342415857790607</v>
      </c>
      <c r="AA62" s="11" t="n">
        <v>0.315708552441489</v>
      </c>
      <c r="AB62" s="11" t="n">
        <v>0.305020823964381</v>
      </c>
      <c r="AC62" s="11" t="n">
        <v>0.299790969640709</v>
      </c>
      <c r="AD62" s="11" t="n">
        <v>0.320768095937011</v>
      </c>
      <c r="AE62" s="11" t="n">
        <v>0.322075958204864</v>
      </c>
      <c r="AF62" s="11" t="n">
        <v>0.311959670394574</v>
      </c>
      <c r="AG62" s="11" t="n">
        <v>0.309251429820356</v>
      </c>
      <c r="AH62" s="11" t="n">
        <v>0.315565079233617</v>
      </c>
      <c r="AI62" s="11" t="n">
        <v>0.301940140392352</v>
      </c>
      <c r="AJ62" s="11" t="n">
        <v>0.258278891681823</v>
      </c>
      <c r="AK62" s="11" t="n">
        <v>0.242181704439128</v>
      </c>
      <c r="AL62" s="11" t="n">
        <v>0.236275707145654</v>
      </c>
      <c r="AM62" s="11" t="n">
        <v>0.308341110741022</v>
      </c>
      <c r="AN62" s="11" t="n">
        <v>0.290673009860078</v>
      </c>
      <c r="AO62" s="11" t="n">
        <v>0.282077179650712</v>
      </c>
      <c r="AP62" s="11" t="n">
        <v>0.270603777263893</v>
      </c>
      <c r="AQ62" s="11" t="n">
        <v>0.263018204086054</v>
      </c>
      <c r="AR62" s="11" t="n">
        <v>0.252823530842161</v>
      </c>
      <c r="AS62" s="11" t="n">
        <v>0.242981477307883</v>
      </c>
      <c r="AT62" s="11" t="n">
        <v>0.229964394344122</v>
      </c>
      <c r="AU62" s="11" t="n">
        <v>0.212744531795025</v>
      </c>
      <c r="AV62" s="11" t="n">
        <v>0.195114174083241</v>
      </c>
      <c r="AW62" s="11" t="n">
        <v>0.193401700443522</v>
      </c>
      <c r="AX62" s="11" t="n">
        <v>0.190830950443513</v>
      </c>
      <c r="AY62" s="11" t="n">
        <v>0.170464511129613</v>
      </c>
      <c r="AZ62" s="11" t="n">
        <v>0.075357378597072</v>
      </c>
      <c r="BA62" s="11" t="n">
        <v>0.0750893061196447</v>
      </c>
      <c r="BB62" s="11" t="n">
        <v>0.0661272571245658</v>
      </c>
      <c r="BC62" s="11" t="n">
        <v>0.0656642892839968</v>
      </c>
      <c r="BD62" s="11" t="n">
        <v>0.0448224665492041</v>
      </c>
      <c r="BE62" s="11" t="n">
        <v>0.035092129064957</v>
      </c>
      <c r="BF62" s="11" t="n">
        <v>0.0350283244044001</v>
      </c>
      <c r="BG62" s="11" t="n">
        <v>0.0349161293111627</v>
      </c>
      <c r="BH62" s="11" t="n">
        <v>0.0312749288477464</v>
      </c>
      <c r="BI62" s="11" t="n">
        <v>0.0313801372093615</v>
      </c>
      <c r="BJ62" s="11" t="n">
        <v>0.0303245467425035</v>
      </c>
      <c r="BK62" s="11" t="n">
        <v>0.0245700830125721</v>
      </c>
      <c r="BL62" s="11" t="n">
        <v>0.0199285492651431</v>
      </c>
      <c r="BM62" s="11" t="n">
        <v>0.0173035812060067</v>
      </c>
      <c r="BN62" s="11" t="n">
        <v>1.38797078466136</v>
      </c>
      <c r="BO62" s="11" t="n">
        <v>1.20153213837524</v>
      </c>
      <c r="BP62" s="11" t="n">
        <v>0.825168714696961</v>
      </c>
      <c r="BQ62" s="11" t="n">
        <v>0.286795448142368</v>
      </c>
    </row>
    <row r="63" customFormat="false" ht="13.8" hidden="false" customHeight="false" outlineLevel="0" collapsed="false">
      <c r="A63" s="11" t="s">
        <v>156</v>
      </c>
      <c r="B63" s="11" t="s">
        <v>148</v>
      </c>
      <c r="C63" s="11" t="s">
        <v>139</v>
      </c>
      <c r="D63" s="12"/>
      <c r="E63" s="11" t="n">
        <v>0</v>
      </c>
      <c r="F63" s="11" t="n">
        <v>0</v>
      </c>
      <c r="G63" s="11" t="n">
        <v>0</v>
      </c>
      <c r="H63" s="11" t="n">
        <v>0</v>
      </c>
      <c r="I63" s="11" t="n">
        <v>0</v>
      </c>
      <c r="J63" s="11" t="n">
        <v>0</v>
      </c>
      <c r="K63" s="11" t="n">
        <v>0</v>
      </c>
      <c r="L63" s="11" t="n">
        <v>0</v>
      </c>
      <c r="M63" s="11" t="n">
        <v>0</v>
      </c>
      <c r="N63" s="11" t="n">
        <v>0</v>
      </c>
      <c r="O63" s="11" t="n">
        <v>0</v>
      </c>
      <c r="P63" s="11" t="n">
        <v>0</v>
      </c>
      <c r="Q63" s="11" t="n">
        <v>0</v>
      </c>
      <c r="R63" s="11" t="n">
        <v>0</v>
      </c>
      <c r="S63" s="11" t="n">
        <v>0</v>
      </c>
      <c r="T63" s="11" t="n">
        <v>0</v>
      </c>
      <c r="U63" s="11" t="n">
        <v>0</v>
      </c>
      <c r="V63" s="11" t="n">
        <v>0</v>
      </c>
      <c r="W63" s="11" t="n">
        <v>0</v>
      </c>
      <c r="X63" s="11" t="n">
        <v>0</v>
      </c>
      <c r="Y63" s="11" t="n">
        <v>0</v>
      </c>
      <c r="Z63" s="11" t="n">
        <v>0</v>
      </c>
      <c r="AA63" s="11" t="n">
        <v>0</v>
      </c>
      <c r="AB63" s="11" t="n">
        <v>0</v>
      </c>
      <c r="AC63" s="11" t="n">
        <v>0</v>
      </c>
      <c r="AD63" s="11" t="n">
        <v>0</v>
      </c>
      <c r="AE63" s="11" t="n">
        <v>0</v>
      </c>
      <c r="AF63" s="11" t="n">
        <v>0</v>
      </c>
      <c r="AG63" s="11" t="n">
        <v>0</v>
      </c>
      <c r="AH63" s="11" t="n">
        <v>0</v>
      </c>
      <c r="AI63" s="11" t="n">
        <v>0</v>
      </c>
      <c r="AJ63" s="11" t="n">
        <v>0</v>
      </c>
      <c r="AK63" s="11" t="n">
        <v>0</v>
      </c>
      <c r="AL63" s="11" t="n">
        <v>0</v>
      </c>
      <c r="AM63" s="11" t="n">
        <v>0</v>
      </c>
      <c r="AN63" s="11" t="n">
        <v>0</v>
      </c>
      <c r="AO63" s="11" t="n">
        <v>0</v>
      </c>
      <c r="AP63" s="11" t="n">
        <v>0</v>
      </c>
      <c r="AQ63" s="11" t="n">
        <v>0</v>
      </c>
      <c r="AR63" s="11" t="n">
        <v>0</v>
      </c>
      <c r="AS63" s="11" t="n">
        <v>0</v>
      </c>
      <c r="AT63" s="11" t="n">
        <v>0</v>
      </c>
      <c r="AU63" s="11" t="n">
        <v>0</v>
      </c>
      <c r="AV63" s="11" t="n">
        <v>0</v>
      </c>
      <c r="AW63" s="11" t="n">
        <v>0</v>
      </c>
      <c r="AX63" s="11" t="n">
        <v>0</v>
      </c>
      <c r="AY63" s="11" t="n">
        <v>0</v>
      </c>
      <c r="AZ63" s="11" t="n">
        <v>0</v>
      </c>
      <c r="BA63" s="11" t="n">
        <v>0</v>
      </c>
      <c r="BB63" s="11" t="n">
        <v>0</v>
      </c>
      <c r="BC63" s="11" t="n">
        <v>0</v>
      </c>
      <c r="BD63" s="11" t="n">
        <v>0</v>
      </c>
      <c r="BE63" s="11" t="n">
        <v>0</v>
      </c>
      <c r="BF63" s="11" t="n">
        <v>0</v>
      </c>
      <c r="BG63" s="11" t="n">
        <v>0</v>
      </c>
      <c r="BH63" s="11" t="n">
        <v>0</v>
      </c>
      <c r="BI63" s="11" t="n">
        <v>0</v>
      </c>
      <c r="BJ63" s="11" t="n">
        <v>0</v>
      </c>
      <c r="BK63" s="11" t="n">
        <v>0</v>
      </c>
      <c r="BL63" s="11" t="n">
        <v>0</v>
      </c>
      <c r="BM63" s="11" t="n">
        <v>0</v>
      </c>
      <c r="BN63" s="11" t="n">
        <v>0</v>
      </c>
      <c r="BO63" s="11" t="n">
        <v>0</v>
      </c>
      <c r="BP63" s="11" t="n">
        <v>0</v>
      </c>
      <c r="BQ63" s="11" t="n">
        <v>0</v>
      </c>
    </row>
    <row r="64" customFormat="false" ht="13.8" hidden="false" customHeight="false" outlineLevel="0" collapsed="false">
      <c r="A64" s="11" t="s">
        <v>157</v>
      </c>
      <c r="B64" s="11" t="s">
        <v>148</v>
      </c>
      <c r="C64" s="11" t="s">
        <v>139</v>
      </c>
      <c r="D64" s="12"/>
      <c r="E64" s="11" t="n">
        <v>0</v>
      </c>
      <c r="F64" s="11" t="n">
        <v>0</v>
      </c>
      <c r="G64" s="11" t="n">
        <v>0</v>
      </c>
      <c r="H64" s="11" t="n">
        <v>0</v>
      </c>
      <c r="I64" s="11" t="n">
        <v>0</v>
      </c>
      <c r="J64" s="11" t="n">
        <v>0</v>
      </c>
      <c r="K64" s="11" t="n">
        <v>0</v>
      </c>
      <c r="L64" s="11" t="n">
        <v>0</v>
      </c>
      <c r="M64" s="11" t="n">
        <v>0</v>
      </c>
      <c r="N64" s="11" t="n">
        <v>0</v>
      </c>
      <c r="O64" s="11" t="n">
        <v>0</v>
      </c>
      <c r="P64" s="11" t="n">
        <v>0</v>
      </c>
      <c r="Q64" s="11" t="n">
        <v>0</v>
      </c>
      <c r="R64" s="11" t="n">
        <v>0</v>
      </c>
      <c r="S64" s="11" t="n">
        <v>0</v>
      </c>
      <c r="T64" s="11" t="n">
        <v>0</v>
      </c>
      <c r="U64" s="11" t="n">
        <v>0</v>
      </c>
      <c r="V64" s="11" t="n">
        <v>0</v>
      </c>
      <c r="W64" s="11" t="n">
        <v>0</v>
      </c>
      <c r="X64" s="11" t="n">
        <v>0</v>
      </c>
      <c r="Y64" s="11" t="n">
        <v>0</v>
      </c>
      <c r="Z64" s="11" t="n">
        <v>0</v>
      </c>
      <c r="AA64" s="11" t="n">
        <v>0</v>
      </c>
      <c r="AB64" s="11" t="n">
        <v>0</v>
      </c>
      <c r="AC64" s="11" t="n">
        <v>0</v>
      </c>
      <c r="AD64" s="11" t="n">
        <v>0</v>
      </c>
      <c r="AE64" s="11" t="n">
        <v>0</v>
      </c>
      <c r="AF64" s="11" t="n">
        <v>0</v>
      </c>
      <c r="AG64" s="11" t="n">
        <v>0</v>
      </c>
      <c r="AH64" s="11" t="n">
        <v>0</v>
      </c>
      <c r="AI64" s="11" t="n">
        <v>0</v>
      </c>
      <c r="AJ64" s="11" t="n">
        <v>0</v>
      </c>
      <c r="AK64" s="11" t="n">
        <v>0</v>
      </c>
      <c r="AL64" s="11" t="n">
        <v>0</v>
      </c>
      <c r="AM64" s="11" t="n">
        <v>0</v>
      </c>
      <c r="AN64" s="11" t="n">
        <v>0</v>
      </c>
      <c r="AO64" s="11" t="n">
        <v>0</v>
      </c>
      <c r="AP64" s="11" t="n">
        <v>0</v>
      </c>
      <c r="AQ64" s="11" t="n">
        <v>0</v>
      </c>
      <c r="AR64" s="11" t="n">
        <v>0</v>
      </c>
      <c r="AS64" s="11" t="n">
        <v>0</v>
      </c>
      <c r="AT64" s="11" t="n">
        <v>0</v>
      </c>
      <c r="AU64" s="11" t="n">
        <v>0</v>
      </c>
      <c r="AV64" s="11" t="n">
        <v>0</v>
      </c>
      <c r="AW64" s="11" t="n">
        <v>0</v>
      </c>
      <c r="AX64" s="11" t="n">
        <v>0</v>
      </c>
      <c r="AY64" s="11" t="n">
        <v>0</v>
      </c>
      <c r="AZ64" s="11" t="n">
        <v>0</v>
      </c>
      <c r="BA64" s="11" t="n">
        <v>0</v>
      </c>
      <c r="BB64" s="11" t="n">
        <v>0</v>
      </c>
      <c r="BC64" s="11" t="n">
        <v>0</v>
      </c>
      <c r="BD64" s="11" t="n">
        <v>0</v>
      </c>
      <c r="BE64" s="11" t="n">
        <v>0</v>
      </c>
      <c r="BF64" s="11" t="n">
        <v>0</v>
      </c>
      <c r="BG64" s="11" t="n">
        <v>0</v>
      </c>
      <c r="BH64" s="11" t="n">
        <v>0</v>
      </c>
      <c r="BI64" s="11" t="n">
        <v>0</v>
      </c>
      <c r="BJ64" s="11" t="n">
        <v>0</v>
      </c>
      <c r="BK64" s="11" t="n">
        <v>0</v>
      </c>
      <c r="BL64" s="11" t="n">
        <v>0</v>
      </c>
      <c r="BM64" s="11" t="n">
        <v>0</v>
      </c>
      <c r="BN64" s="11" t="n">
        <v>0</v>
      </c>
      <c r="BO64" s="11" t="n">
        <v>0</v>
      </c>
      <c r="BP64" s="11" t="n">
        <v>0</v>
      </c>
      <c r="BQ64" s="11" t="n">
        <v>0</v>
      </c>
    </row>
    <row r="65" customFormat="false" ht="13.8" hidden="false" customHeight="false" outlineLevel="0" collapsed="false">
      <c r="A65" s="11" t="s">
        <v>158</v>
      </c>
      <c r="B65" s="11" t="s">
        <v>148</v>
      </c>
      <c r="C65" s="11" t="s">
        <v>139</v>
      </c>
      <c r="D65" s="12"/>
      <c r="E65" s="11" t="n">
        <v>0</v>
      </c>
      <c r="F65" s="11" t="n">
        <v>0</v>
      </c>
      <c r="G65" s="11" t="n">
        <v>0</v>
      </c>
      <c r="H65" s="11" t="n">
        <v>0</v>
      </c>
      <c r="I65" s="11" t="n">
        <v>0</v>
      </c>
      <c r="J65" s="11" t="n">
        <v>0</v>
      </c>
      <c r="K65" s="11" t="n">
        <v>0</v>
      </c>
      <c r="L65" s="11" t="n">
        <v>0</v>
      </c>
      <c r="M65" s="11" t="n">
        <v>0</v>
      </c>
      <c r="N65" s="11" t="n">
        <v>0</v>
      </c>
      <c r="O65" s="11" t="n">
        <v>0</v>
      </c>
      <c r="P65" s="11" t="n">
        <v>0</v>
      </c>
      <c r="Q65" s="11" t="n">
        <v>0</v>
      </c>
      <c r="R65" s="11" t="n">
        <v>0</v>
      </c>
      <c r="S65" s="11" t="n">
        <v>0</v>
      </c>
      <c r="T65" s="11" t="n">
        <v>0</v>
      </c>
      <c r="U65" s="11" t="n">
        <v>0</v>
      </c>
      <c r="V65" s="11" t="n">
        <v>0</v>
      </c>
      <c r="W65" s="11" t="n">
        <v>0</v>
      </c>
      <c r="X65" s="11" t="n">
        <v>0</v>
      </c>
      <c r="Y65" s="11" t="n">
        <v>0</v>
      </c>
      <c r="Z65" s="11" t="n">
        <v>0</v>
      </c>
      <c r="AA65" s="11" t="n">
        <v>0</v>
      </c>
      <c r="AB65" s="11" t="n">
        <v>0</v>
      </c>
      <c r="AC65" s="11" t="n">
        <v>0</v>
      </c>
      <c r="AD65" s="11" t="n">
        <v>0</v>
      </c>
      <c r="AE65" s="11" t="n">
        <v>0</v>
      </c>
      <c r="AF65" s="11" t="n">
        <v>0</v>
      </c>
      <c r="AG65" s="11" t="n">
        <v>0</v>
      </c>
      <c r="AH65" s="11" t="n">
        <v>0</v>
      </c>
      <c r="AI65" s="11" t="n">
        <v>0</v>
      </c>
      <c r="AJ65" s="11" t="n">
        <v>0</v>
      </c>
      <c r="AK65" s="11" t="n">
        <v>0</v>
      </c>
      <c r="AL65" s="11" t="n">
        <v>0</v>
      </c>
      <c r="AM65" s="11" t="n">
        <v>0</v>
      </c>
      <c r="AN65" s="11" t="n">
        <v>0</v>
      </c>
      <c r="AO65" s="11" t="n">
        <v>0</v>
      </c>
      <c r="AP65" s="11" t="n">
        <v>0</v>
      </c>
      <c r="AQ65" s="11" t="n">
        <v>0</v>
      </c>
      <c r="AR65" s="11" t="n">
        <v>0</v>
      </c>
      <c r="AS65" s="11" t="n">
        <v>0</v>
      </c>
      <c r="AT65" s="11" t="n">
        <v>0</v>
      </c>
      <c r="AU65" s="11" t="n">
        <v>0</v>
      </c>
      <c r="AV65" s="11" t="n">
        <v>0</v>
      </c>
      <c r="AW65" s="11" t="n">
        <v>0</v>
      </c>
      <c r="AX65" s="11" t="n">
        <v>0</v>
      </c>
      <c r="AY65" s="11" t="n">
        <v>0</v>
      </c>
      <c r="AZ65" s="11" t="n">
        <v>0</v>
      </c>
      <c r="BA65" s="11" t="n">
        <v>0</v>
      </c>
      <c r="BB65" s="11" t="n">
        <v>0</v>
      </c>
      <c r="BC65" s="11" t="n">
        <v>0</v>
      </c>
      <c r="BD65" s="11" t="n">
        <v>0</v>
      </c>
      <c r="BE65" s="11" t="n">
        <v>0</v>
      </c>
      <c r="BF65" s="11" t="n">
        <v>0</v>
      </c>
      <c r="BG65" s="11" t="n">
        <v>0</v>
      </c>
      <c r="BH65" s="11" t="n">
        <v>0</v>
      </c>
      <c r="BI65" s="11" t="n">
        <v>0</v>
      </c>
      <c r="BJ65" s="11" t="n">
        <v>0</v>
      </c>
      <c r="BK65" s="11" t="n">
        <v>0</v>
      </c>
      <c r="BL65" s="11" t="n">
        <v>0</v>
      </c>
      <c r="BM65" s="11" t="n">
        <v>0</v>
      </c>
      <c r="BN65" s="11" t="n">
        <v>0</v>
      </c>
      <c r="BO65" s="11" t="n">
        <v>0</v>
      </c>
      <c r="BP65" s="11" t="n">
        <v>0</v>
      </c>
      <c r="BQ65" s="11" t="n">
        <v>0</v>
      </c>
    </row>
    <row r="66" customFormat="false" ht="13.8" hidden="false" customHeight="false" outlineLevel="0" collapsed="false">
      <c r="A66" s="11" t="s">
        <v>159</v>
      </c>
      <c r="B66" s="11" t="s">
        <v>148</v>
      </c>
      <c r="C66" s="11" t="s">
        <v>139</v>
      </c>
      <c r="D66" s="12"/>
      <c r="E66" s="11" t="n">
        <v>0</v>
      </c>
      <c r="F66" s="11" t="n">
        <v>0</v>
      </c>
      <c r="G66" s="11" t="n">
        <v>0</v>
      </c>
      <c r="H66" s="11" t="n">
        <v>0</v>
      </c>
      <c r="I66" s="11" t="n">
        <v>0</v>
      </c>
      <c r="J66" s="11" t="n">
        <v>0</v>
      </c>
      <c r="K66" s="11" t="n">
        <v>0</v>
      </c>
      <c r="L66" s="11" t="n">
        <v>0</v>
      </c>
      <c r="M66" s="11" t="n">
        <v>0</v>
      </c>
      <c r="N66" s="11" t="n">
        <v>0</v>
      </c>
      <c r="O66" s="11" t="n">
        <v>0</v>
      </c>
      <c r="P66" s="11" t="n">
        <v>0</v>
      </c>
      <c r="Q66" s="11" t="n">
        <v>0</v>
      </c>
      <c r="R66" s="11" t="n">
        <v>0</v>
      </c>
      <c r="S66" s="11" t="n">
        <v>0</v>
      </c>
      <c r="T66" s="11" t="n">
        <v>0</v>
      </c>
      <c r="U66" s="11" t="n">
        <v>0</v>
      </c>
      <c r="V66" s="11" t="n">
        <v>0</v>
      </c>
      <c r="W66" s="11" t="n">
        <v>0</v>
      </c>
      <c r="X66" s="11" t="n">
        <v>0</v>
      </c>
      <c r="Y66" s="11" t="n">
        <v>0</v>
      </c>
      <c r="Z66" s="11" t="n">
        <v>0</v>
      </c>
      <c r="AA66" s="11" t="n">
        <v>0</v>
      </c>
      <c r="AB66" s="11" t="n">
        <v>0</v>
      </c>
      <c r="AC66" s="11" t="n">
        <v>0</v>
      </c>
      <c r="AD66" s="11" t="n">
        <v>0</v>
      </c>
      <c r="AE66" s="11" t="n">
        <v>0</v>
      </c>
      <c r="AF66" s="11" t="n">
        <v>0</v>
      </c>
      <c r="AG66" s="11" t="n">
        <v>0</v>
      </c>
      <c r="AH66" s="11" t="n">
        <v>0</v>
      </c>
      <c r="AI66" s="11" t="n">
        <v>0</v>
      </c>
      <c r="AJ66" s="11" t="n">
        <v>0</v>
      </c>
      <c r="AK66" s="11" t="n">
        <v>0</v>
      </c>
      <c r="AL66" s="11" t="n">
        <v>0</v>
      </c>
      <c r="AM66" s="11" t="n">
        <v>0</v>
      </c>
      <c r="AN66" s="11" t="n">
        <v>0</v>
      </c>
      <c r="AO66" s="11" t="n">
        <v>0</v>
      </c>
      <c r="AP66" s="11" t="n">
        <v>0</v>
      </c>
      <c r="AQ66" s="11" t="n">
        <v>0</v>
      </c>
      <c r="AR66" s="11" t="n">
        <v>0</v>
      </c>
      <c r="AS66" s="11" t="n">
        <v>0</v>
      </c>
      <c r="AT66" s="11" t="n">
        <v>0</v>
      </c>
      <c r="AU66" s="11" t="n">
        <v>0</v>
      </c>
      <c r="AV66" s="11" t="n">
        <v>0</v>
      </c>
      <c r="AW66" s="11" t="n">
        <v>0</v>
      </c>
      <c r="AX66" s="11" t="n">
        <v>0</v>
      </c>
      <c r="AY66" s="11" t="n">
        <v>0</v>
      </c>
      <c r="AZ66" s="11" t="n">
        <v>0</v>
      </c>
      <c r="BA66" s="11" t="n">
        <v>0</v>
      </c>
      <c r="BB66" s="11" t="n">
        <v>0</v>
      </c>
      <c r="BC66" s="11" t="n">
        <v>0</v>
      </c>
      <c r="BD66" s="11" t="n">
        <v>0</v>
      </c>
      <c r="BE66" s="11" t="n">
        <v>0</v>
      </c>
      <c r="BF66" s="11" t="n">
        <v>0</v>
      </c>
      <c r="BG66" s="11" t="n">
        <v>0</v>
      </c>
      <c r="BH66" s="11" t="n">
        <v>0</v>
      </c>
      <c r="BI66" s="11" t="n">
        <v>0</v>
      </c>
      <c r="BJ66" s="11" t="n">
        <v>0</v>
      </c>
      <c r="BK66" s="11" t="n">
        <v>0</v>
      </c>
      <c r="BL66" s="11" t="n">
        <v>0</v>
      </c>
      <c r="BM66" s="11" t="n">
        <v>0</v>
      </c>
      <c r="BN66" s="11" t="n">
        <v>0</v>
      </c>
      <c r="BO66" s="11" t="n">
        <v>0</v>
      </c>
      <c r="BP66" s="11" t="n">
        <v>0</v>
      </c>
      <c r="BQ66" s="11" t="n">
        <v>0</v>
      </c>
    </row>
    <row r="67" customFormat="false" ht="35" hidden="false" customHeight="true" outlineLevel="0" collapsed="false">
      <c r="A67" s="11" t="s">
        <v>153</v>
      </c>
      <c r="B67" s="11" t="s">
        <v>149</v>
      </c>
      <c r="C67" s="11" t="s">
        <v>139</v>
      </c>
      <c r="D67" s="12"/>
      <c r="E67" s="11" t="n">
        <v>23.4049779457917</v>
      </c>
      <c r="F67" s="11" t="n">
        <v>22.987350217966</v>
      </c>
      <c r="G67" s="11" t="n">
        <v>24.8153340174219</v>
      </c>
      <c r="H67" s="11" t="n">
        <v>25.8153597236557</v>
      </c>
      <c r="I67" s="11" t="n">
        <v>26.0785177088359</v>
      </c>
      <c r="J67" s="11" t="n">
        <v>27.7437262990777</v>
      </c>
      <c r="K67" s="11" t="n">
        <v>29.5276821526667</v>
      </c>
      <c r="L67" s="11" t="n">
        <v>31.8068465246926</v>
      </c>
      <c r="M67" s="11" t="n">
        <v>34.761048419787</v>
      </c>
      <c r="N67" s="11" t="n">
        <v>34.546501676778</v>
      </c>
      <c r="O67" s="11" t="n">
        <v>36.5737821400304</v>
      </c>
      <c r="P67" s="11" t="n">
        <v>36.4524670175751</v>
      </c>
      <c r="Q67" s="11" t="n">
        <v>34.7831095534258</v>
      </c>
      <c r="R67" s="11" t="n">
        <v>35.0056557595463</v>
      </c>
      <c r="S67" s="11" t="n">
        <v>38.868571633415</v>
      </c>
      <c r="T67" s="11" t="n">
        <v>41.3477149682766</v>
      </c>
      <c r="U67" s="11" t="n">
        <v>42.7777607370441</v>
      </c>
      <c r="V67" s="11" t="n">
        <v>42.6662541489719</v>
      </c>
      <c r="W67" s="11" t="n">
        <v>45.3449827801572</v>
      </c>
      <c r="X67" s="11" t="n">
        <v>43.8441346015328</v>
      </c>
      <c r="Y67" s="11" t="n">
        <v>41.8333866700746</v>
      </c>
      <c r="Z67" s="11" t="n">
        <v>42.6917211611623</v>
      </c>
      <c r="AA67" s="11" t="n">
        <v>40.6737673106719</v>
      </c>
      <c r="AB67" s="11" t="n">
        <v>41.6441352026503</v>
      </c>
      <c r="AC67" s="11" t="n">
        <v>41.016311983451</v>
      </c>
      <c r="AD67" s="11" t="n">
        <v>41.106587158819</v>
      </c>
      <c r="AE67" s="11" t="n">
        <v>42.2291394260331</v>
      </c>
      <c r="AF67" s="11" t="n">
        <v>44.4902906593276</v>
      </c>
      <c r="AG67" s="11" t="n">
        <v>44.0679950886659</v>
      </c>
      <c r="AH67" s="11" t="n">
        <v>42.9774962501012</v>
      </c>
      <c r="AI67" s="11" t="n">
        <v>21.0317222137582</v>
      </c>
      <c r="AJ67" s="11" t="n">
        <v>19.8038719561892</v>
      </c>
      <c r="AK67" s="11" t="n">
        <v>34.3402603985262</v>
      </c>
      <c r="AL67" s="11" t="n">
        <v>39.1154025301628</v>
      </c>
      <c r="AM67" s="11" t="n">
        <v>41.9478970929608</v>
      </c>
      <c r="AN67" s="11" t="n">
        <v>42.2854516274598</v>
      </c>
      <c r="AO67" s="11" t="n">
        <v>41.7707813394059</v>
      </c>
      <c r="AP67" s="11" t="n">
        <v>41.5934433206711</v>
      </c>
      <c r="AQ67" s="11" t="n">
        <v>40.6529292936652</v>
      </c>
      <c r="AR67" s="11" t="n">
        <v>40.8988517236249</v>
      </c>
      <c r="AS67" s="11" t="n">
        <v>39.8915129383533</v>
      </c>
      <c r="AT67" s="11" t="n">
        <v>39.8118351341012</v>
      </c>
      <c r="AU67" s="11" t="n">
        <v>39.4555517100467</v>
      </c>
      <c r="AV67" s="11" t="n">
        <v>38.7600386061301</v>
      </c>
      <c r="AW67" s="11" t="n">
        <v>38.2436403553886</v>
      </c>
      <c r="AX67" s="11" t="n">
        <v>38.0378403608337</v>
      </c>
      <c r="AY67" s="11" t="n">
        <v>37.4369056973882</v>
      </c>
      <c r="AZ67" s="11" t="n">
        <v>36.676290782145</v>
      </c>
      <c r="BA67" s="11" t="n">
        <v>36.5017063589597</v>
      </c>
      <c r="BB67" s="11" t="n">
        <v>36.5267615346145</v>
      </c>
      <c r="BC67" s="11" t="n">
        <v>36.245334898323</v>
      </c>
      <c r="BD67" s="11" t="n">
        <v>36.7181610178511</v>
      </c>
      <c r="BE67" s="11" t="n">
        <v>37.243533409706</v>
      </c>
      <c r="BF67" s="11" t="n">
        <v>37.1705954372477</v>
      </c>
      <c r="BG67" s="11" t="n">
        <v>36.8699339781966</v>
      </c>
      <c r="BH67" s="11" t="n">
        <v>36.4110196957223</v>
      </c>
      <c r="BI67" s="11" t="n">
        <v>35.9249032819482</v>
      </c>
      <c r="BJ67" s="11" t="n">
        <v>35.2192232593229</v>
      </c>
      <c r="BK67" s="11" t="n">
        <v>35.4142849459432</v>
      </c>
      <c r="BL67" s="11" t="n">
        <v>34.2983836372689</v>
      </c>
      <c r="BM67" s="11" t="n">
        <v>33.7457847671173</v>
      </c>
      <c r="BN67" s="11" t="n">
        <v>206.71297591066</v>
      </c>
      <c r="BO67" s="11" t="n">
        <v>200.710680799791</v>
      </c>
      <c r="BP67" s="11" t="n">
        <v>189.154715801886</v>
      </c>
      <c r="BQ67" s="11" t="n">
        <v>183.235497219454</v>
      </c>
    </row>
    <row r="68" customFormat="false" ht="13.8" hidden="false" customHeight="false" outlineLevel="0" collapsed="false">
      <c r="A68" s="11" t="s">
        <v>154</v>
      </c>
      <c r="B68" s="11" t="s">
        <v>149</v>
      </c>
      <c r="C68" s="11" t="s">
        <v>139</v>
      </c>
      <c r="D68" s="12"/>
      <c r="E68" s="11" t="n">
        <v>0.0125890835226998</v>
      </c>
      <c r="F68" s="11" t="n">
        <v>0.0109751170093508</v>
      </c>
      <c r="G68" s="11" t="n">
        <v>0.0105123158861649</v>
      </c>
      <c r="H68" s="11" t="n">
        <v>0.0101236904014491</v>
      </c>
      <c r="I68" s="11" t="n">
        <v>0.00919830421697692</v>
      </c>
      <c r="J68" s="11" t="n">
        <v>0.00923506226912738</v>
      </c>
      <c r="K68" s="11" t="n">
        <v>0.00952637289345431</v>
      </c>
      <c r="L68" s="11" t="n">
        <v>0.0100170778920726</v>
      </c>
      <c r="M68" s="11" t="n">
        <v>0.0100532113979351</v>
      </c>
      <c r="N68" s="11" t="n">
        <v>0.00834265754184278</v>
      </c>
      <c r="O68" s="11" t="n">
        <v>0.00730582987881518</v>
      </c>
      <c r="P68" s="11" t="n">
        <v>0.00681790931902899</v>
      </c>
      <c r="Q68" s="11" t="n">
        <v>0.00630500040352559</v>
      </c>
      <c r="R68" s="11" t="n">
        <v>0.00610667648698635</v>
      </c>
      <c r="S68" s="11" t="n">
        <v>0.00634438984340458</v>
      </c>
      <c r="T68" s="11" t="n">
        <v>0.00655254238920297</v>
      </c>
      <c r="U68" s="11" t="n">
        <v>0.00687555871945185</v>
      </c>
      <c r="V68" s="11" t="n">
        <v>0.00695627552238268</v>
      </c>
      <c r="W68" s="11" t="n">
        <v>0.00848702628658656</v>
      </c>
      <c r="X68" s="11" t="n">
        <v>0.0080587963121825</v>
      </c>
      <c r="Y68" s="11" t="n">
        <v>0.00715464807683107</v>
      </c>
      <c r="Z68" s="11" t="n">
        <v>0.00741164069813107</v>
      </c>
      <c r="AA68" s="11" t="n">
        <v>0.00662579789668267</v>
      </c>
      <c r="AB68" s="11" t="n">
        <v>0.00678410211710636</v>
      </c>
      <c r="AC68" s="11" t="n">
        <v>0.006474370233903</v>
      </c>
      <c r="AD68" s="11" t="n">
        <v>0.00627298674837881</v>
      </c>
      <c r="AE68" s="11" t="n">
        <v>0.00661788442106704</v>
      </c>
      <c r="AF68" s="11" t="n">
        <v>0.00647787292413065</v>
      </c>
      <c r="AG68" s="11" t="n">
        <v>0.00630766022195382</v>
      </c>
      <c r="AH68" s="11" t="n">
        <v>0.00588406077467458</v>
      </c>
      <c r="AI68" s="11" t="n">
        <v>0.0033099028832611</v>
      </c>
      <c r="AJ68" s="11" t="n">
        <v>0.00323425555558424</v>
      </c>
      <c r="AK68" s="11" t="n">
        <v>0.00460985824771227</v>
      </c>
      <c r="AL68" s="11" t="n">
        <v>0.00460062035964831</v>
      </c>
      <c r="AM68" s="11" t="n">
        <v>0.00476441580944522</v>
      </c>
      <c r="AN68" s="11" t="n">
        <v>0.00474727849323506</v>
      </c>
      <c r="AO68" s="11" t="n">
        <v>0.00469061998524104</v>
      </c>
      <c r="AP68" s="11" t="n">
        <v>0.00465445147417582</v>
      </c>
      <c r="AQ68" s="11" t="n">
        <v>0.00456482887308517</v>
      </c>
      <c r="AR68" s="11" t="n">
        <v>0.00456429385427989</v>
      </c>
      <c r="AS68" s="11" t="n">
        <v>0.00447132558491666</v>
      </c>
      <c r="AT68" s="11" t="n">
        <v>0.00444734026270878</v>
      </c>
      <c r="AU68" s="11" t="n">
        <v>0.00440543682735449</v>
      </c>
      <c r="AV68" s="11" t="n">
        <v>0.00433655265149583</v>
      </c>
      <c r="AW68" s="11" t="n">
        <v>0.00428058629175956</v>
      </c>
      <c r="AX68" s="11" t="n">
        <v>0.00425262128105525</v>
      </c>
      <c r="AY68" s="11" t="n">
        <v>0.00420099548791325</v>
      </c>
      <c r="AZ68" s="11" t="n">
        <v>0.00413801287142161</v>
      </c>
      <c r="BA68" s="11" t="n">
        <v>0.00411135712895239</v>
      </c>
      <c r="BB68" s="11" t="n">
        <v>0.00410272794771994</v>
      </c>
      <c r="BC68" s="11" t="n">
        <v>0.00406758667652021</v>
      </c>
      <c r="BD68" s="11" t="n">
        <v>0.00408499135390556</v>
      </c>
      <c r="BE68" s="11" t="n">
        <v>0.00410441600476228</v>
      </c>
      <c r="BF68" s="11" t="n">
        <v>0.00403025616226962</v>
      </c>
      <c r="BG68" s="11" t="n">
        <v>0.00393521830299817</v>
      </c>
      <c r="BH68" s="11" t="n">
        <v>0.00382893380372485</v>
      </c>
      <c r="BI68" s="11" t="n">
        <v>0.00372177663548755</v>
      </c>
      <c r="BJ68" s="11" t="n">
        <v>0.00359841362465889</v>
      </c>
      <c r="BK68" s="11" t="n">
        <v>0.00354149099584186</v>
      </c>
      <c r="BL68" s="11" t="n">
        <v>0.00339307111445951</v>
      </c>
      <c r="BM68" s="11" t="n">
        <v>0.00328939497250166</v>
      </c>
      <c r="BN68" s="11" t="n">
        <v>0.0234573861217455</v>
      </c>
      <c r="BO68" s="11" t="n">
        <v>0.022453225402345</v>
      </c>
      <c r="BP68" s="11" t="n">
        <v>0.0212087685836455</v>
      </c>
      <c r="BQ68" s="11" t="n">
        <v>0.0204710791118604</v>
      </c>
    </row>
    <row r="69" customFormat="false" ht="13.8" hidden="false" customHeight="false" outlineLevel="0" collapsed="false">
      <c r="A69" s="11" t="s">
        <v>155</v>
      </c>
      <c r="B69" s="11" t="s">
        <v>149</v>
      </c>
      <c r="C69" s="11" t="s">
        <v>139</v>
      </c>
      <c r="D69" s="12"/>
      <c r="E69" s="11" t="n">
        <v>0.229768437808112</v>
      </c>
      <c r="F69" s="11" t="n">
        <v>0.225486442917531</v>
      </c>
      <c r="G69" s="11" t="n">
        <v>0.241630342123149</v>
      </c>
      <c r="H69" s="11" t="n">
        <v>0.249224912347367</v>
      </c>
      <c r="I69" s="11" t="n">
        <v>0.249190648394163</v>
      </c>
      <c r="J69" s="11" t="n">
        <v>0.265321670310047</v>
      </c>
      <c r="K69" s="11" t="n">
        <v>0.282903257612216</v>
      </c>
      <c r="L69" s="11" t="n">
        <v>0.306128555632585</v>
      </c>
      <c r="M69" s="11" t="n">
        <v>0.332279359740273</v>
      </c>
      <c r="N69" s="11" t="n">
        <v>0.320674052540595</v>
      </c>
      <c r="O69" s="11" t="n">
        <v>0.334381611789901</v>
      </c>
      <c r="P69" s="11" t="n">
        <v>0.335644446137459</v>
      </c>
      <c r="Q69" s="11" t="n">
        <v>0.317098438070823</v>
      </c>
      <c r="R69" s="11" t="n">
        <v>0.317243046482137</v>
      </c>
      <c r="S69" s="11" t="n">
        <v>0.353841689241966</v>
      </c>
      <c r="T69" s="11" t="n">
        <v>0.374521266281019</v>
      </c>
      <c r="U69" s="11" t="n">
        <v>0.390318356325297</v>
      </c>
      <c r="V69" s="11" t="n">
        <v>0.389808460720638</v>
      </c>
      <c r="W69" s="11" t="n">
        <v>0.426895378977304</v>
      </c>
      <c r="X69" s="11" t="n">
        <v>0.412114826928773</v>
      </c>
      <c r="Y69" s="11" t="n">
        <v>0.388446438125771</v>
      </c>
      <c r="Z69" s="11" t="n">
        <v>0.398357833742933</v>
      </c>
      <c r="AA69" s="11" t="n">
        <v>0.376567284377753</v>
      </c>
      <c r="AB69" s="11" t="n">
        <v>0.385317635603666</v>
      </c>
      <c r="AC69" s="11" t="n">
        <v>0.378757042232084</v>
      </c>
      <c r="AD69" s="11" t="n">
        <v>0.375810347207758</v>
      </c>
      <c r="AE69" s="11" t="n">
        <v>0.386991939967827</v>
      </c>
      <c r="AF69" s="11" t="n">
        <v>0.403485731229427</v>
      </c>
      <c r="AG69" s="11" t="n">
        <v>0.399904077676805</v>
      </c>
      <c r="AH69" s="11" t="n">
        <v>0.388577727315604</v>
      </c>
      <c r="AI69" s="11" t="n">
        <v>0.199095822046541</v>
      </c>
      <c r="AJ69" s="11" t="n">
        <v>0.189827672057938</v>
      </c>
      <c r="AK69" s="11" t="n">
        <v>0.313169165025215</v>
      </c>
      <c r="AL69" s="11" t="n">
        <v>0.354880659437038</v>
      </c>
      <c r="AM69" s="11" t="n">
        <v>0.378386684653289</v>
      </c>
      <c r="AN69" s="11" t="n">
        <v>0.380713431354324</v>
      </c>
      <c r="AO69" s="11" t="n">
        <v>0.3760941681642</v>
      </c>
      <c r="AP69" s="11" t="n">
        <v>0.374287049131831</v>
      </c>
      <c r="AQ69" s="11" t="n">
        <v>0.366025893740407</v>
      </c>
      <c r="AR69" s="11" t="n">
        <v>0.367875717364998</v>
      </c>
      <c r="AS69" s="11" t="n">
        <v>0.359066716761752</v>
      </c>
      <c r="AT69" s="11" t="n">
        <v>0.358154654378939</v>
      </c>
      <c r="AU69" s="11" t="n">
        <v>0.354922235027332</v>
      </c>
      <c r="AV69" s="11" t="n">
        <v>0.348779324844331</v>
      </c>
      <c r="AW69" s="11" t="n">
        <v>0.344155974965956</v>
      </c>
      <c r="AX69" s="11" t="n">
        <v>0.34224015610735</v>
      </c>
      <c r="AY69" s="11" t="n">
        <v>0.337034731780727</v>
      </c>
      <c r="AZ69" s="11" t="n">
        <v>0.330476687789769</v>
      </c>
      <c r="BA69" s="11" t="n">
        <v>0.328813499062031</v>
      </c>
      <c r="BB69" s="11" t="n">
        <v>0.328890966736787</v>
      </c>
      <c r="BC69" s="11" t="n">
        <v>0.326311261194557</v>
      </c>
      <c r="BD69" s="11" t="n">
        <v>0.330106464536919</v>
      </c>
      <c r="BE69" s="11" t="n">
        <v>0.334324547725099</v>
      </c>
      <c r="BF69" s="11" t="n">
        <v>0.332813876170709</v>
      </c>
      <c r="BG69" s="11" t="n">
        <v>0.329313599533671</v>
      </c>
      <c r="BH69" s="11" t="n">
        <v>0.324472906813636</v>
      </c>
      <c r="BI69" s="11" t="n">
        <v>0.319415537667506</v>
      </c>
      <c r="BJ69" s="11" t="n">
        <v>0.312490651731376</v>
      </c>
      <c r="BK69" s="11" t="n">
        <v>0.313226546855994</v>
      </c>
      <c r="BL69" s="11" t="n">
        <v>0.302880077357479</v>
      </c>
      <c r="BM69" s="11" t="n">
        <v>0.297365817178083</v>
      </c>
      <c r="BN69" s="11" t="n">
        <v>1.86436199274068</v>
      </c>
      <c r="BO69" s="11" t="n">
        <v>1.80604521727343</v>
      </c>
      <c r="BP69" s="11" t="n">
        <v>1.70268687548813</v>
      </c>
      <c r="BQ69" s="11" t="n">
        <v>1.64844673925539</v>
      </c>
    </row>
    <row r="70" customFormat="false" ht="13.8" hidden="false" customHeight="false" outlineLevel="0" collapsed="false">
      <c r="A70" s="11" t="s">
        <v>156</v>
      </c>
      <c r="B70" s="11" t="s">
        <v>149</v>
      </c>
      <c r="C70" s="11" t="s">
        <v>139</v>
      </c>
      <c r="D70" s="12"/>
      <c r="E70" s="11" t="n">
        <v>0</v>
      </c>
      <c r="F70" s="11" t="n">
        <v>0</v>
      </c>
      <c r="G70" s="11" t="n">
        <v>0</v>
      </c>
      <c r="H70" s="11" t="n">
        <v>0</v>
      </c>
      <c r="I70" s="11" t="n">
        <v>0</v>
      </c>
      <c r="J70" s="11" t="n">
        <v>0</v>
      </c>
      <c r="K70" s="11" t="n">
        <v>0</v>
      </c>
      <c r="L70" s="11" t="n">
        <v>0</v>
      </c>
      <c r="M70" s="11" t="n">
        <v>0</v>
      </c>
      <c r="N70" s="11" t="n">
        <v>0</v>
      </c>
      <c r="O70" s="11" t="n">
        <v>0</v>
      </c>
      <c r="P70" s="11" t="n">
        <v>0</v>
      </c>
      <c r="Q70" s="11" t="n">
        <v>0</v>
      </c>
      <c r="R70" s="11" t="n">
        <v>0</v>
      </c>
      <c r="S70" s="11" t="n">
        <v>0</v>
      </c>
      <c r="T70" s="11" t="n">
        <v>0</v>
      </c>
      <c r="U70" s="11" t="n">
        <v>0</v>
      </c>
      <c r="V70" s="11" t="n">
        <v>0</v>
      </c>
      <c r="W70" s="11" t="n">
        <v>0</v>
      </c>
      <c r="X70" s="11" t="n">
        <v>0</v>
      </c>
      <c r="Y70" s="11" t="n">
        <v>0</v>
      </c>
      <c r="Z70" s="11" t="n">
        <v>0</v>
      </c>
      <c r="AA70" s="11" t="n">
        <v>0</v>
      </c>
      <c r="AB70" s="11" t="n">
        <v>0</v>
      </c>
      <c r="AC70" s="11" t="n">
        <v>0</v>
      </c>
      <c r="AD70" s="11" t="n">
        <v>0</v>
      </c>
      <c r="AE70" s="11" t="n">
        <v>0</v>
      </c>
      <c r="AF70" s="11" t="n">
        <v>0</v>
      </c>
      <c r="AG70" s="11" t="n">
        <v>0</v>
      </c>
      <c r="AH70" s="11" t="n">
        <v>0</v>
      </c>
      <c r="AI70" s="11" t="n">
        <v>0</v>
      </c>
      <c r="AJ70" s="11" t="n">
        <v>0</v>
      </c>
      <c r="AK70" s="11" t="n">
        <v>0</v>
      </c>
      <c r="AL70" s="11" t="n">
        <v>0</v>
      </c>
      <c r="AM70" s="11" t="n">
        <v>0</v>
      </c>
      <c r="AN70" s="11" t="n">
        <v>0</v>
      </c>
      <c r="AO70" s="11" t="n">
        <v>0</v>
      </c>
      <c r="AP70" s="11" t="n">
        <v>0</v>
      </c>
      <c r="AQ70" s="11" t="n">
        <v>0</v>
      </c>
      <c r="AR70" s="11" t="n">
        <v>0</v>
      </c>
      <c r="AS70" s="11" t="n">
        <v>0</v>
      </c>
      <c r="AT70" s="11" t="n">
        <v>0</v>
      </c>
      <c r="AU70" s="11" t="n">
        <v>0</v>
      </c>
      <c r="AV70" s="11" t="n">
        <v>0</v>
      </c>
      <c r="AW70" s="11" t="n">
        <v>0</v>
      </c>
      <c r="AX70" s="11" t="n">
        <v>0</v>
      </c>
      <c r="AY70" s="11" t="n">
        <v>0</v>
      </c>
      <c r="AZ70" s="11" t="n">
        <v>0</v>
      </c>
      <c r="BA70" s="11" t="n">
        <v>0</v>
      </c>
      <c r="BB70" s="11" t="n">
        <v>0</v>
      </c>
      <c r="BC70" s="11" t="n">
        <v>0</v>
      </c>
      <c r="BD70" s="11" t="n">
        <v>0</v>
      </c>
      <c r="BE70" s="11" t="n">
        <v>0</v>
      </c>
      <c r="BF70" s="11" t="n">
        <v>0</v>
      </c>
      <c r="BG70" s="11" t="n">
        <v>0</v>
      </c>
      <c r="BH70" s="11" t="n">
        <v>0</v>
      </c>
      <c r="BI70" s="11" t="n">
        <v>0</v>
      </c>
      <c r="BJ70" s="11" t="n">
        <v>0</v>
      </c>
      <c r="BK70" s="11" t="n">
        <v>0</v>
      </c>
      <c r="BL70" s="11" t="n">
        <v>0</v>
      </c>
      <c r="BM70" s="11" t="n">
        <v>0</v>
      </c>
      <c r="BN70" s="11" t="n">
        <v>0</v>
      </c>
      <c r="BO70" s="11" t="n">
        <v>0</v>
      </c>
      <c r="BP70" s="11" t="n">
        <v>0</v>
      </c>
      <c r="BQ70" s="11" t="n">
        <v>0</v>
      </c>
    </row>
    <row r="71" customFormat="false" ht="13.8" hidden="false" customHeight="false" outlineLevel="0" collapsed="false">
      <c r="A71" s="11" t="s">
        <v>157</v>
      </c>
      <c r="B71" s="11" t="s">
        <v>149</v>
      </c>
      <c r="C71" s="11" t="s">
        <v>139</v>
      </c>
      <c r="D71" s="12"/>
      <c r="E71" s="11" t="n">
        <v>0</v>
      </c>
      <c r="F71" s="11" t="n">
        <v>0</v>
      </c>
      <c r="G71" s="11" t="n">
        <v>0</v>
      </c>
      <c r="H71" s="11" t="n">
        <v>0</v>
      </c>
      <c r="I71" s="11" t="n">
        <v>0</v>
      </c>
      <c r="J71" s="11" t="n">
        <v>0</v>
      </c>
      <c r="K71" s="11" t="n">
        <v>0</v>
      </c>
      <c r="L71" s="11" t="n">
        <v>0</v>
      </c>
      <c r="M71" s="11" t="n">
        <v>0</v>
      </c>
      <c r="N71" s="11" t="n">
        <v>0</v>
      </c>
      <c r="O71" s="11" t="n">
        <v>0</v>
      </c>
      <c r="P71" s="11" t="n">
        <v>0</v>
      </c>
      <c r="Q71" s="11" t="n">
        <v>0</v>
      </c>
      <c r="R71" s="11" t="n">
        <v>0</v>
      </c>
      <c r="S71" s="11" t="n">
        <v>0</v>
      </c>
      <c r="T71" s="11" t="n">
        <v>0</v>
      </c>
      <c r="U71" s="11" t="n">
        <v>0</v>
      </c>
      <c r="V71" s="11" t="n">
        <v>0</v>
      </c>
      <c r="W71" s="11" t="n">
        <v>0</v>
      </c>
      <c r="X71" s="11" t="n">
        <v>0</v>
      </c>
      <c r="Y71" s="11" t="n">
        <v>0</v>
      </c>
      <c r="Z71" s="11" t="n">
        <v>0</v>
      </c>
      <c r="AA71" s="11" t="n">
        <v>0</v>
      </c>
      <c r="AB71" s="11" t="n">
        <v>0</v>
      </c>
      <c r="AC71" s="11" t="n">
        <v>0</v>
      </c>
      <c r="AD71" s="11" t="n">
        <v>0</v>
      </c>
      <c r="AE71" s="11" t="n">
        <v>0</v>
      </c>
      <c r="AF71" s="11" t="n">
        <v>0</v>
      </c>
      <c r="AG71" s="11" t="n">
        <v>0</v>
      </c>
      <c r="AH71" s="11" t="n">
        <v>0</v>
      </c>
      <c r="AI71" s="11" t="n">
        <v>0</v>
      </c>
      <c r="AJ71" s="11" t="n">
        <v>0</v>
      </c>
      <c r="AK71" s="11" t="n">
        <v>0</v>
      </c>
      <c r="AL71" s="11" t="n">
        <v>0</v>
      </c>
      <c r="AM71" s="11" t="n">
        <v>0</v>
      </c>
      <c r="AN71" s="11" t="n">
        <v>0</v>
      </c>
      <c r="AO71" s="11" t="n">
        <v>0</v>
      </c>
      <c r="AP71" s="11" t="n">
        <v>0</v>
      </c>
      <c r="AQ71" s="11" t="n">
        <v>0</v>
      </c>
      <c r="AR71" s="11" t="n">
        <v>0</v>
      </c>
      <c r="AS71" s="11" t="n">
        <v>0</v>
      </c>
      <c r="AT71" s="11" t="n">
        <v>0</v>
      </c>
      <c r="AU71" s="11" t="n">
        <v>0</v>
      </c>
      <c r="AV71" s="11" t="n">
        <v>0</v>
      </c>
      <c r="AW71" s="11" t="n">
        <v>0</v>
      </c>
      <c r="AX71" s="11" t="n">
        <v>0</v>
      </c>
      <c r="AY71" s="11" t="n">
        <v>0</v>
      </c>
      <c r="AZ71" s="11" t="n">
        <v>0</v>
      </c>
      <c r="BA71" s="11" t="n">
        <v>0</v>
      </c>
      <c r="BB71" s="11" t="n">
        <v>0</v>
      </c>
      <c r="BC71" s="11" t="n">
        <v>0</v>
      </c>
      <c r="BD71" s="11" t="n">
        <v>0</v>
      </c>
      <c r="BE71" s="11" t="n">
        <v>0</v>
      </c>
      <c r="BF71" s="11" t="n">
        <v>0</v>
      </c>
      <c r="BG71" s="11" t="n">
        <v>0</v>
      </c>
      <c r="BH71" s="11" t="n">
        <v>0</v>
      </c>
      <c r="BI71" s="11" t="n">
        <v>0</v>
      </c>
      <c r="BJ71" s="11" t="n">
        <v>0</v>
      </c>
      <c r="BK71" s="11" t="n">
        <v>0</v>
      </c>
      <c r="BL71" s="11" t="n">
        <v>0</v>
      </c>
      <c r="BM71" s="11" t="n">
        <v>0</v>
      </c>
      <c r="BN71" s="11" t="n">
        <v>0</v>
      </c>
      <c r="BO71" s="11" t="n">
        <v>0</v>
      </c>
      <c r="BP71" s="11" t="n">
        <v>0</v>
      </c>
      <c r="BQ71" s="11" t="n">
        <v>0</v>
      </c>
    </row>
    <row r="72" customFormat="false" ht="13.8" hidden="false" customHeight="false" outlineLevel="0" collapsed="false">
      <c r="A72" s="11" t="s">
        <v>158</v>
      </c>
      <c r="B72" s="11" t="s">
        <v>149</v>
      </c>
      <c r="C72" s="11" t="s">
        <v>139</v>
      </c>
      <c r="D72" s="12"/>
      <c r="E72" s="11" t="n">
        <v>0</v>
      </c>
      <c r="F72" s="11" t="n">
        <v>0</v>
      </c>
      <c r="G72" s="11" t="n">
        <v>0</v>
      </c>
      <c r="H72" s="11" t="n">
        <v>0</v>
      </c>
      <c r="I72" s="11" t="n">
        <v>0</v>
      </c>
      <c r="J72" s="11" t="n">
        <v>0</v>
      </c>
      <c r="K72" s="11" t="n">
        <v>0</v>
      </c>
      <c r="L72" s="11" t="n">
        <v>0</v>
      </c>
      <c r="M72" s="11" t="n">
        <v>0</v>
      </c>
      <c r="N72" s="11" t="n">
        <v>0</v>
      </c>
      <c r="O72" s="11" t="n">
        <v>0</v>
      </c>
      <c r="P72" s="11" t="n">
        <v>0</v>
      </c>
      <c r="Q72" s="11" t="n">
        <v>0</v>
      </c>
      <c r="R72" s="11" t="n">
        <v>0</v>
      </c>
      <c r="S72" s="11" t="n">
        <v>0</v>
      </c>
      <c r="T72" s="11" t="n">
        <v>0</v>
      </c>
      <c r="U72" s="11" t="n">
        <v>0</v>
      </c>
      <c r="V72" s="11" t="n">
        <v>0</v>
      </c>
      <c r="W72" s="11" t="n">
        <v>0</v>
      </c>
      <c r="X72" s="11" t="n">
        <v>0</v>
      </c>
      <c r="Y72" s="11" t="n">
        <v>0</v>
      </c>
      <c r="Z72" s="11" t="n">
        <v>0</v>
      </c>
      <c r="AA72" s="11" t="n">
        <v>0</v>
      </c>
      <c r="AB72" s="11" t="n">
        <v>0</v>
      </c>
      <c r="AC72" s="11" t="n">
        <v>0</v>
      </c>
      <c r="AD72" s="11" t="n">
        <v>0</v>
      </c>
      <c r="AE72" s="11" t="n">
        <v>0</v>
      </c>
      <c r="AF72" s="11" t="n">
        <v>0</v>
      </c>
      <c r="AG72" s="11" t="n">
        <v>0</v>
      </c>
      <c r="AH72" s="11" t="n">
        <v>0</v>
      </c>
      <c r="AI72" s="11" t="n">
        <v>0</v>
      </c>
      <c r="AJ72" s="11" t="n">
        <v>0</v>
      </c>
      <c r="AK72" s="11" t="n">
        <v>0</v>
      </c>
      <c r="AL72" s="11" t="n">
        <v>0</v>
      </c>
      <c r="AM72" s="11" t="n">
        <v>0</v>
      </c>
      <c r="AN72" s="11" t="n">
        <v>0</v>
      </c>
      <c r="AO72" s="11" t="n">
        <v>0</v>
      </c>
      <c r="AP72" s="11" t="n">
        <v>0</v>
      </c>
      <c r="AQ72" s="11" t="n">
        <v>0</v>
      </c>
      <c r="AR72" s="11" t="n">
        <v>0</v>
      </c>
      <c r="AS72" s="11" t="n">
        <v>0</v>
      </c>
      <c r="AT72" s="11" t="n">
        <v>0</v>
      </c>
      <c r="AU72" s="11" t="n">
        <v>0</v>
      </c>
      <c r="AV72" s="11" t="n">
        <v>0</v>
      </c>
      <c r="AW72" s="11" t="n">
        <v>0</v>
      </c>
      <c r="AX72" s="11" t="n">
        <v>0</v>
      </c>
      <c r="AY72" s="11" t="n">
        <v>0</v>
      </c>
      <c r="AZ72" s="11" t="n">
        <v>0</v>
      </c>
      <c r="BA72" s="11" t="n">
        <v>0</v>
      </c>
      <c r="BB72" s="11" t="n">
        <v>0</v>
      </c>
      <c r="BC72" s="11" t="n">
        <v>0</v>
      </c>
      <c r="BD72" s="11" t="n">
        <v>0</v>
      </c>
      <c r="BE72" s="11" t="n">
        <v>0</v>
      </c>
      <c r="BF72" s="11" t="n">
        <v>0</v>
      </c>
      <c r="BG72" s="11" t="n">
        <v>0</v>
      </c>
      <c r="BH72" s="11" t="n">
        <v>0</v>
      </c>
      <c r="BI72" s="11" t="n">
        <v>0</v>
      </c>
      <c r="BJ72" s="11" t="n">
        <v>0</v>
      </c>
      <c r="BK72" s="11" t="n">
        <v>0</v>
      </c>
      <c r="BL72" s="11" t="n">
        <v>0</v>
      </c>
      <c r="BM72" s="11" t="n">
        <v>0</v>
      </c>
      <c r="BN72" s="11" t="n">
        <v>0</v>
      </c>
      <c r="BO72" s="11" t="n">
        <v>0</v>
      </c>
      <c r="BP72" s="11" t="n">
        <v>0</v>
      </c>
      <c r="BQ72" s="11" t="n">
        <v>0</v>
      </c>
    </row>
    <row r="73" customFormat="false" ht="13.8" hidden="false" customHeight="false" outlineLevel="0" collapsed="false">
      <c r="A73" s="11" t="s">
        <v>159</v>
      </c>
      <c r="B73" s="11" t="s">
        <v>149</v>
      </c>
      <c r="C73" s="11" t="s">
        <v>139</v>
      </c>
      <c r="D73" s="12"/>
      <c r="E73" s="11" t="n">
        <v>0</v>
      </c>
      <c r="F73" s="11" t="n">
        <v>0</v>
      </c>
      <c r="G73" s="11" t="n">
        <v>0</v>
      </c>
      <c r="H73" s="11" t="n">
        <v>0</v>
      </c>
      <c r="I73" s="11" t="n">
        <v>0</v>
      </c>
      <c r="J73" s="11" t="n">
        <v>0</v>
      </c>
      <c r="K73" s="11" t="n">
        <v>0</v>
      </c>
      <c r="L73" s="11" t="n">
        <v>0</v>
      </c>
      <c r="M73" s="11" t="n">
        <v>0</v>
      </c>
      <c r="N73" s="11" t="n">
        <v>0</v>
      </c>
      <c r="O73" s="11" t="n">
        <v>0</v>
      </c>
      <c r="P73" s="11" t="n">
        <v>0</v>
      </c>
      <c r="Q73" s="11" t="n">
        <v>0</v>
      </c>
      <c r="R73" s="11" t="n">
        <v>0</v>
      </c>
      <c r="S73" s="11" t="n">
        <v>0</v>
      </c>
      <c r="T73" s="11" t="n">
        <v>0</v>
      </c>
      <c r="U73" s="11" t="n">
        <v>0</v>
      </c>
      <c r="V73" s="11" t="n">
        <v>0</v>
      </c>
      <c r="W73" s="11" t="n">
        <v>0</v>
      </c>
      <c r="X73" s="11" t="n">
        <v>0</v>
      </c>
      <c r="Y73" s="11" t="n">
        <v>0</v>
      </c>
      <c r="Z73" s="11" t="n">
        <v>0</v>
      </c>
      <c r="AA73" s="11" t="n">
        <v>0</v>
      </c>
      <c r="AB73" s="11" t="n">
        <v>0</v>
      </c>
      <c r="AC73" s="11" t="n">
        <v>0</v>
      </c>
      <c r="AD73" s="11" t="n">
        <v>0</v>
      </c>
      <c r="AE73" s="11" t="n">
        <v>0</v>
      </c>
      <c r="AF73" s="11" t="n">
        <v>0</v>
      </c>
      <c r="AG73" s="11" t="n">
        <v>0</v>
      </c>
      <c r="AH73" s="11" t="n">
        <v>0</v>
      </c>
      <c r="AI73" s="11" t="n">
        <v>0</v>
      </c>
      <c r="AJ73" s="11" t="n">
        <v>0</v>
      </c>
      <c r="AK73" s="11" t="n">
        <v>0</v>
      </c>
      <c r="AL73" s="11" t="n">
        <v>0</v>
      </c>
      <c r="AM73" s="11" t="n">
        <v>0</v>
      </c>
      <c r="AN73" s="11" t="n">
        <v>0</v>
      </c>
      <c r="AO73" s="11" t="n">
        <v>0</v>
      </c>
      <c r="AP73" s="11" t="n">
        <v>0</v>
      </c>
      <c r="AQ73" s="11" t="n">
        <v>0</v>
      </c>
      <c r="AR73" s="11" t="n">
        <v>0</v>
      </c>
      <c r="AS73" s="11" t="n">
        <v>0</v>
      </c>
      <c r="AT73" s="11" t="n">
        <v>0</v>
      </c>
      <c r="AU73" s="11" t="n">
        <v>0</v>
      </c>
      <c r="AV73" s="11" t="n">
        <v>0</v>
      </c>
      <c r="AW73" s="11" t="n">
        <v>0</v>
      </c>
      <c r="AX73" s="11" t="n">
        <v>0</v>
      </c>
      <c r="AY73" s="11" t="n">
        <v>0</v>
      </c>
      <c r="AZ73" s="11" t="n">
        <v>0</v>
      </c>
      <c r="BA73" s="11" t="n">
        <v>0</v>
      </c>
      <c r="BB73" s="11" t="n">
        <v>0</v>
      </c>
      <c r="BC73" s="11" t="n">
        <v>0</v>
      </c>
      <c r="BD73" s="11" t="n">
        <v>0</v>
      </c>
      <c r="BE73" s="11" t="n">
        <v>0</v>
      </c>
      <c r="BF73" s="11" t="n">
        <v>0</v>
      </c>
      <c r="BG73" s="11" t="n">
        <v>0</v>
      </c>
      <c r="BH73" s="11" t="n">
        <v>0</v>
      </c>
      <c r="BI73" s="11" t="n">
        <v>0</v>
      </c>
      <c r="BJ73" s="11" t="n">
        <v>0</v>
      </c>
      <c r="BK73" s="11" t="n">
        <v>0</v>
      </c>
      <c r="BL73" s="11" t="n">
        <v>0</v>
      </c>
      <c r="BM73" s="11" t="n">
        <v>0</v>
      </c>
      <c r="BN73" s="11" t="n">
        <v>0</v>
      </c>
      <c r="BO73" s="11" t="n">
        <v>0</v>
      </c>
      <c r="BP73" s="11" t="n">
        <v>0</v>
      </c>
      <c r="BQ73" s="11" t="n">
        <v>0</v>
      </c>
    </row>
    <row r="74" customFormat="false" ht="35" hidden="false" customHeight="true" outlineLevel="0" collapsed="false">
      <c r="A74" s="11" t="s">
        <v>153</v>
      </c>
      <c r="B74" s="11" t="s">
        <v>150</v>
      </c>
      <c r="C74" s="11" t="s">
        <v>139</v>
      </c>
      <c r="D74" s="12"/>
      <c r="E74" s="11" t="n">
        <v>118.4137716097</v>
      </c>
      <c r="F74" s="11" t="n">
        <v>119.014813792139</v>
      </c>
      <c r="G74" s="11" t="n">
        <v>115.813443112178</v>
      </c>
      <c r="H74" s="11" t="n">
        <v>112.771452741268</v>
      </c>
      <c r="I74" s="11" t="n">
        <v>114.169291856287</v>
      </c>
      <c r="J74" s="11" t="n">
        <v>111.8899120854</v>
      </c>
      <c r="K74" s="11" t="n">
        <v>113.246188433113</v>
      </c>
      <c r="L74" s="11" t="n">
        <v>111.590317777299</v>
      </c>
      <c r="M74" s="11" t="n">
        <v>110.671050226962</v>
      </c>
      <c r="N74" s="11" t="n">
        <v>111.095796976668</v>
      </c>
      <c r="O74" s="11" t="n">
        <v>110.299826367994</v>
      </c>
      <c r="P74" s="11" t="n">
        <v>105.207879586784</v>
      </c>
      <c r="Q74" s="11" t="n">
        <v>95.866236007944</v>
      </c>
      <c r="R74" s="11" t="n">
        <v>99.11234796702</v>
      </c>
      <c r="S74" s="11" t="n">
        <v>98.6075340469153</v>
      </c>
      <c r="T74" s="11" t="n">
        <v>97.998249136469</v>
      </c>
      <c r="U74" s="11" t="n">
        <v>95.8366862515671</v>
      </c>
      <c r="V74" s="11" t="n">
        <v>96.2677261730681</v>
      </c>
      <c r="W74" s="11" t="n">
        <v>88.0389258056002</v>
      </c>
      <c r="X74" s="11" t="n">
        <v>71.5838244338876</v>
      </c>
      <c r="Y74" s="11" t="n">
        <v>74.4426555424122</v>
      </c>
      <c r="Z74" s="11" t="n">
        <v>71.101589791874</v>
      </c>
      <c r="AA74" s="11" t="n">
        <v>69.6316466114539</v>
      </c>
      <c r="AB74" s="11" t="n">
        <v>73.9273227644288</v>
      </c>
      <c r="AC74" s="11" t="n">
        <v>71.862709575198</v>
      </c>
      <c r="AD74" s="11" t="n">
        <v>68.2621437934111</v>
      </c>
      <c r="AE74" s="11" t="n">
        <v>62.016407811927</v>
      </c>
      <c r="AF74" s="11" t="n">
        <v>62.1518411293656</v>
      </c>
      <c r="AG74" s="11" t="n">
        <v>61.0375525593661</v>
      </c>
      <c r="AH74" s="11" t="n">
        <v>59.6225484219456</v>
      </c>
      <c r="AI74" s="11" t="n">
        <v>56.5485842656158</v>
      </c>
      <c r="AJ74" s="11" t="n">
        <v>56.1570909481253</v>
      </c>
      <c r="AK74" s="11" t="n">
        <v>52.7682756115475</v>
      </c>
      <c r="AL74" s="11" t="n">
        <v>51.5451454259605</v>
      </c>
      <c r="AM74" s="11" t="n">
        <v>41.8267072065194</v>
      </c>
      <c r="AN74" s="11" t="n">
        <v>39.5706203075618</v>
      </c>
      <c r="AO74" s="11" t="n">
        <v>38.9112645568562</v>
      </c>
      <c r="AP74" s="11" t="n">
        <v>38.9107662724497</v>
      </c>
      <c r="AQ74" s="11" t="n">
        <v>38.9008877056579</v>
      </c>
      <c r="AR74" s="11" t="n">
        <v>38.8828115637545</v>
      </c>
      <c r="AS74" s="11" t="n">
        <v>38.947557605558</v>
      </c>
      <c r="AT74" s="11" t="n">
        <v>39.0739479326182</v>
      </c>
      <c r="AU74" s="11" t="n">
        <v>39.2904883868691</v>
      </c>
      <c r="AV74" s="11" t="n">
        <v>39.5280677581721</v>
      </c>
      <c r="AW74" s="11" t="n">
        <v>39.4539292444725</v>
      </c>
      <c r="AX74" s="11" t="n">
        <v>39.5337322252656</v>
      </c>
      <c r="AY74" s="11" t="n">
        <v>39.6946487185752</v>
      </c>
      <c r="AZ74" s="11" t="n">
        <v>40.0493227321204</v>
      </c>
      <c r="BA74" s="11" t="n">
        <v>40.292860071257</v>
      </c>
      <c r="BB74" s="11" t="n">
        <v>40.6271309577578</v>
      </c>
      <c r="BC74" s="11" t="n">
        <v>41.2946699582655</v>
      </c>
      <c r="BD74" s="11" t="n">
        <v>42.2041244826042</v>
      </c>
      <c r="BE74" s="11" t="n">
        <v>42.6239873134151</v>
      </c>
      <c r="BF74" s="11" t="n">
        <v>43.0740660617132</v>
      </c>
      <c r="BG74" s="11" t="n">
        <v>43.4501074082259</v>
      </c>
      <c r="BH74" s="11" t="n">
        <v>43.952457507828</v>
      </c>
      <c r="BI74" s="11" t="n">
        <v>44.5305777175923</v>
      </c>
      <c r="BJ74" s="11" t="n">
        <v>44.9852780234347</v>
      </c>
      <c r="BK74" s="11" t="n">
        <v>45.5005717462314</v>
      </c>
      <c r="BL74" s="11" t="n">
        <v>46.1231955769975</v>
      </c>
      <c r="BM74" s="11" t="n">
        <v>46.668374402571</v>
      </c>
      <c r="BN74" s="11" t="n">
        <v>210.764503769348</v>
      </c>
      <c r="BO74" s="11" t="n">
        <v>195.095693194458</v>
      </c>
      <c r="BP74" s="11" t="n">
        <v>198.259700678606</v>
      </c>
      <c r="BQ74" s="11" t="n">
        <v>207.0427727833</v>
      </c>
    </row>
    <row r="75" customFormat="false" ht="13.8" hidden="false" customHeight="false" outlineLevel="0" collapsed="false">
      <c r="A75" s="11" t="s">
        <v>154</v>
      </c>
      <c r="B75" s="11" t="s">
        <v>150</v>
      </c>
      <c r="C75" s="11" t="s">
        <v>139</v>
      </c>
      <c r="D75" s="12"/>
      <c r="E75" s="11" t="n">
        <v>0.44331900520374</v>
      </c>
      <c r="F75" s="11" t="n">
        <v>0.436843652324105</v>
      </c>
      <c r="G75" s="11" t="n">
        <v>0.449894769942012</v>
      </c>
      <c r="H75" s="11" t="n">
        <v>0.430667742398447</v>
      </c>
      <c r="I75" s="11" t="n">
        <v>0.443384912303906</v>
      </c>
      <c r="J75" s="11" t="n">
        <v>0.381708330886593</v>
      </c>
      <c r="K75" s="11" t="n">
        <v>0.401627687660783</v>
      </c>
      <c r="L75" s="11" t="n">
        <v>0.366622211391681</v>
      </c>
      <c r="M75" s="11" t="n">
        <v>0.306581017443862</v>
      </c>
      <c r="N75" s="11" t="n">
        <v>0.274157455687739</v>
      </c>
      <c r="O75" s="11" t="n">
        <v>0.258792624681049</v>
      </c>
      <c r="P75" s="11" t="n">
        <v>0.249903855660206</v>
      </c>
      <c r="Q75" s="11" t="n">
        <v>0.248261677205499</v>
      </c>
      <c r="R75" s="11" t="n">
        <v>0.273358155828199</v>
      </c>
      <c r="S75" s="11" t="n">
        <v>0.258695767367993</v>
      </c>
      <c r="T75" s="11" t="n">
        <v>0.23827427448191</v>
      </c>
      <c r="U75" s="11" t="n">
        <v>0.241846919843259</v>
      </c>
      <c r="V75" s="11" t="n">
        <v>0.246496416993352</v>
      </c>
      <c r="W75" s="11" t="n">
        <v>0.205162855264423</v>
      </c>
      <c r="X75" s="11" t="n">
        <v>0.203824654272757</v>
      </c>
      <c r="Y75" s="11" t="n">
        <v>0.219860169042239</v>
      </c>
      <c r="Z75" s="11" t="n">
        <v>0.20780985053395</v>
      </c>
      <c r="AA75" s="11" t="n">
        <v>0.21476008390242</v>
      </c>
      <c r="AB75" s="11" t="n">
        <v>0.2310665835278</v>
      </c>
      <c r="AC75" s="11" t="n">
        <v>0.236651170223021</v>
      </c>
      <c r="AD75" s="11" t="n">
        <v>0.190306292834351</v>
      </c>
      <c r="AE75" s="11" t="n">
        <v>0.197158705312948</v>
      </c>
      <c r="AF75" s="11" t="n">
        <v>0.193975713889451</v>
      </c>
      <c r="AG75" s="11" t="n">
        <v>0.181593573845414</v>
      </c>
      <c r="AH75" s="11" t="n">
        <v>0.204070544505308</v>
      </c>
      <c r="AI75" s="11" t="n">
        <v>0.203974773990828</v>
      </c>
      <c r="AJ75" s="11" t="n">
        <v>0.177178030463855</v>
      </c>
      <c r="AK75" s="11" t="n">
        <v>0.150527641729483</v>
      </c>
      <c r="AL75" s="11" t="n">
        <v>0.136602269198612</v>
      </c>
      <c r="AM75" s="11" t="n">
        <v>0.124219774039943</v>
      </c>
      <c r="AN75" s="11" t="n">
        <v>0.121822223840376</v>
      </c>
      <c r="AO75" s="11" t="n">
        <v>0.121748185425777</v>
      </c>
      <c r="AP75" s="11" t="n">
        <v>0.121553406606561</v>
      </c>
      <c r="AQ75" s="11" t="n">
        <v>0.12234231951881</v>
      </c>
      <c r="AR75" s="11" t="n">
        <v>0.122475735592039</v>
      </c>
      <c r="AS75" s="11" t="n">
        <v>0.122576572942291</v>
      </c>
      <c r="AT75" s="11" t="n">
        <v>0.123216101349751</v>
      </c>
      <c r="AU75" s="11" t="n">
        <v>0.123427585432588</v>
      </c>
      <c r="AV75" s="11" t="n">
        <v>0.122909317965133</v>
      </c>
      <c r="AW75" s="11" t="n">
        <v>0.121346452239843</v>
      </c>
      <c r="AX75" s="11" t="n">
        <v>0.118261714059233</v>
      </c>
      <c r="AY75" s="11" t="n">
        <v>0.115204259302375</v>
      </c>
      <c r="AZ75" s="11" t="n">
        <v>0.11049163127692</v>
      </c>
      <c r="BA75" s="11" t="n">
        <v>0.107666888351775</v>
      </c>
      <c r="BB75" s="11" t="n">
        <v>0.106959182826036</v>
      </c>
      <c r="BC75" s="11" t="n">
        <v>0.107813468764414</v>
      </c>
      <c r="BD75" s="11" t="n">
        <v>0.108377430082233</v>
      </c>
      <c r="BE75" s="11" t="n">
        <v>0.108497874411975</v>
      </c>
      <c r="BF75" s="11" t="n">
        <v>0.109867757738547</v>
      </c>
      <c r="BG75" s="11" t="n">
        <v>0.111243490288198</v>
      </c>
      <c r="BH75" s="11" t="n">
        <v>0.112491721375265</v>
      </c>
      <c r="BI75" s="11" t="n">
        <v>0.113643451145184</v>
      </c>
      <c r="BJ75" s="11" t="n">
        <v>0.114667448173716</v>
      </c>
      <c r="BK75" s="11" t="n">
        <v>0.115950218215969</v>
      </c>
      <c r="BL75" s="11" t="n">
        <v>0.117405433178028</v>
      </c>
      <c r="BM75" s="11" t="n">
        <v>0.118977408796667</v>
      </c>
      <c r="BN75" s="11" t="n">
        <v>0.62594585911127</v>
      </c>
      <c r="BO75" s="11" t="n">
        <v>0.614038314835479</v>
      </c>
      <c r="BP75" s="11" t="n">
        <v>0.588213374843504</v>
      </c>
      <c r="BQ75" s="11" t="n">
        <v>0.539314844436432</v>
      </c>
    </row>
    <row r="76" customFormat="false" ht="13.8" hidden="false" customHeight="false" outlineLevel="0" collapsed="false">
      <c r="A76" s="11" t="s">
        <v>155</v>
      </c>
      <c r="B76" s="11" t="s">
        <v>150</v>
      </c>
      <c r="C76" s="11" t="s">
        <v>139</v>
      </c>
      <c r="D76" s="12"/>
      <c r="E76" s="11" t="n">
        <v>21.5652997879254</v>
      </c>
      <c r="F76" s="11" t="n">
        <v>21.7127336596143</v>
      </c>
      <c r="G76" s="11" t="n">
        <v>17.8376038728573</v>
      </c>
      <c r="H76" s="11" t="n">
        <v>14.4723582327414</v>
      </c>
      <c r="I76" s="11" t="n">
        <v>14.4570495682186</v>
      </c>
      <c r="J76" s="11" t="n">
        <v>13.1015894650544</v>
      </c>
      <c r="K76" s="11" t="n">
        <v>12.9626721496846</v>
      </c>
      <c r="L76" s="11" t="n">
        <v>13.1114449557242</v>
      </c>
      <c r="M76" s="11" t="n">
        <v>13.3393246404969</v>
      </c>
      <c r="N76" s="11" t="n">
        <v>4.86435115055118</v>
      </c>
      <c r="O76" s="11" t="n">
        <v>5.03119711253613</v>
      </c>
      <c r="P76" s="11" t="n">
        <v>4.40034271689269</v>
      </c>
      <c r="Q76" s="11" t="n">
        <v>2.96337620542514</v>
      </c>
      <c r="R76" s="11" t="n">
        <v>2.76123157185506</v>
      </c>
      <c r="S76" s="11" t="n">
        <v>3.58333213782271</v>
      </c>
      <c r="T76" s="11" t="n">
        <v>2.98798973715842</v>
      </c>
      <c r="U76" s="11" t="n">
        <v>2.49017771522978</v>
      </c>
      <c r="V76" s="11" t="n">
        <v>2.85621646899379</v>
      </c>
      <c r="W76" s="11" t="n">
        <v>2.67136576984888</v>
      </c>
      <c r="X76" s="11" t="n">
        <v>1.39774107046752</v>
      </c>
      <c r="Y76" s="11" t="n">
        <v>1.52766892938289</v>
      </c>
      <c r="Z76" s="11" t="n">
        <v>0.712186804179413</v>
      </c>
      <c r="AA76" s="11" t="n">
        <v>0.482486962557308</v>
      </c>
      <c r="AB76" s="11" t="n">
        <v>0.429079725761066</v>
      </c>
      <c r="AC76" s="11" t="n">
        <v>0.46081516891292</v>
      </c>
      <c r="AD76" s="11" t="n">
        <v>0.41805073696547</v>
      </c>
      <c r="AE76" s="11" t="n">
        <v>0.38651304833778</v>
      </c>
      <c r="AF76" s="11" t="n">
        <v>0.412200815328678</v>
      </c>
      <c r="AG76" s="11" t="n">
        <v>0.429228078343806</v>
      </c>
      <c r="AH76" s="11" t="n">
        <v>0.415869088543474</v>
      </c>
      <c r="AI76" s="11" t="n">
        <v>0.341792392713469</v>
      </c>
      <c r="AJ76" s="11" t="n">
        <v>0.33892012024538</v>
      </c>
      <c r="AK76" s="11" t="n">
        <v>0.304056990866258</v>
      </c>
      <c r="AL76" s="11" t="n">
        <v>0.320998168689842</v>
      </c>
      <c r="AM76" s="11" t="n">
        <v>0.308762907490412</v>
      </c>
      <c r="AN76" s="11" t="n">
        <v>0.308179025177224</v>
      </c>
      <c r="AO76" s="11" t="n">
        <v>0.308771358620711</v>
      </c>
      <c r="AP76" s="11" t="n">
        <v>0.309377166009007</v>
      </c>
      <c r="AQ76" s="11" t="n">
        <v>0.31082917803608</v>
      </c>
      <c r="AR76" s="11" t="n">
        <v>0.312748090933163</v>
      </c>
      <c r="AS76" s="11" t="n">
        <v>0.315248920736544</v>
      </c>
      <c r="AT76" s="11" t="n">
        <v>0.316968945980933</v>
      </c>
      <c r="AU76" s="11" t="n">
        <v>0.31808768884944</v>
      </c>
      <c r="AV76" s="11" t="n">
        <v>0.318313053621373</v>
      </c>
      <c r="AW76" s="11" t="n">
        <v>0.317796255728844</v>
      </c>
      <c r="AX76" s="11" t="n">
        <v>0.315444450370818</v>
      </c>
      <c r="AY76" s="11" t="n">
        <v>0.312547695799565</v>
      </c>
      <c r="AZ76" s="11" t="n">
        <v>0.30877851029152</v>
      </c>
      <c r="BA76" s="11" t="n">
        <v>0.308220648118788</v>
      </c>
      <c r="BB76" s="11" t="n">
        <v>0.310759534359128</v>
      </c>
      <c r="BC76" s="11" t="n">
        <v>0.313967685601712</v>
      </c>
      <c r="BD76" s="11" t="n">
        <v>0.31700533397548</v>
      </c>
      <c r="BE76" s="11" t="n">
        <v>0.319399034195987</v>
      </c>
      <c r="BF76" s="11" t="n">
        <v>0.323384740289048</v>
      </c>
      <c r="BG76" s="11" t="n">
        <v>0.327396805948442</v>
      </c>
      <c r="BH76" s="11" t="n">
        <v>0.331243883142784</v>
      </c>
      <c r="BI76" s="11" t="n">
        <v>0.33548111458149</v>
      </c>
      <c r="BJ76" s="11" t="n">
        <v>0.339605371878839</v>
      </c>
      <c r="BK76" s="11" t="n">
        <v>0.344022002626668</v>
      </c>
      <c r="BL76" s="11" t="n">
        <v>0.348723429013109</v>
      </c>
      <c r="BM76" s="11" t="n">
        <v>0.35354339180809</v>
      </c>
      <c r="BN76" s="11" t="n">
        <v>1.5560886259872</v>
      </c>
      <c r="BO76" s="11" t="n">
        <v>1.57388282453616</v>
      </c>
      <c r="BP76" s="11" t="n">
        <v>1.57287996581212</v>
      </c>
      <c r="BQ76" s="11" t="n">
        <v>1.5693522362511</v>
      </c>
    </row>
    <row r="77" customFormat="false" ht="13.8" hidden="false" customHeight="false" outlineLevel="0" collapsed="false">
      <c r="A77" s="11" t="s">
        <v>156</v>
      </c>
      <c r="B77" s="11" t="s">
        <v>150</v>
      </c>
      <c r="C77" s="11" t="s">
        <v>139</v>
      </c>
      <c r="D77" s="12"/>
      <c r="E77" s="11" t="n">
        <v>12.0611019747843</v>
      </c>
      <c r="F77" s="11" t="n">
        <v>12.560947044888</v>
      </c>
      <c r="G77" s="11" t="n">
        <v>13.0590166547658</v>
      </c>
      <c r="H77" s="11" t="n">
        <v>13.5589198327038</v>
      </c>
      <c r="I77" s="11" t="n">
        <v>14.0785716356004</v>
      </c>
      <c r="J77" s="11" t="n">
        <v>14.8503478691302</v>
      </c>
      <c r="K77" s="11" t="n">
        <v>15.2377825845836</v>
      </c>
      <c r="L77" s="11" t="n">
        <v>16.6698067803255</v>
      </c>
      <c r="M77" s="11" t="n">
        <v>13.031243160348</v>
      </c>
      <c r="N77" s="11" t="n">
        <v>5.45326465141623</v>
      </c>
      <c r="O77" s="11" t="n">
        <v>3.14561025055457</v>
      </c>
      <c r="P77" s="11" t="n">
        <v>2.98512538404294</v>
      </c>
      <c r="Q77" s="11" t="n">
        <v>2.68513882060246</v>
      </c>
      <c r="R77" s="11" t="n">
        <v>2.69499743669117</v>
      </c>
      <c r="S77" s="11" t="n">
        <v>1.12703958186289</v>
      </c>
      <c r="T77" s="11" t="n">
        <v>1.17738858479048</v>
      </c>
      <c r="U77" s="11" t="n">
        <v>1.18654379751043</v>
      </c>
      <c r="V77" s="11" t="n">
        <v>0.99844418718931</v>
      </c>
      <c r="W77" s="11" t="n">
        <v>0.984344676536811</v>
      </c>
      <c r="X77" s="11" t="n">
        <v>0.986717488794266</v>
      </c>
      <c r="Y77" s="11" t="n">
        <v>1.04360027741906</v>
      </c>
      <c r="Z77" s="11" t="n">
        <v>1.12555768771586</v>
      </c>
      <c r="AA77" s="11" t="n">
        <v>1.18240823535114</v>
      </c>
      <c r="AB77" s="11" t="n">
        <v>1.19754396726382</v>
      </c>
      <c r="AC77" s="11" t="n">
        <v>1.09407297472768</v>
      </c>
      <c r="AD77" s="11" t="n">
        <v>1.06078718300872</v>
      </c>
      <c r="AE77" s="11" t="n">
        <v>0.987853948312576</v>
      </c>
      <c r="AF77" s="11" t="n">
        <v>0.906283894425842</v>
      </c>
      <c r="AG77" s="11" t="n">
        <v>0.852063510753011</v>
      </c>
      <c r="AH77" s="11" t="n">
        <v>0.788345372159246</v>
      </c>
      <c r="AI77" s="11" t="n">
        <v>0.723269994000405</v>
      </c>
      <c r="AJ77" s="11" t="n">
        <v>0.68958136760534</v>
      </c>
      <c r="AK77" s="11" t="n">
        <v>0.650783575102076</v>
      </c>
      <c r="AL77" s="11" t="n">
        <v>0.601156700396275</v>
      </c>
      <c r="AM77" s="11" t="n">
        <v>0.539622297547992</v>
      </c>
      <c r="AN77" s="11" t="n">
        <v>0.482864113787378</v>
      </c>
      <c r="AO77" s="11" t="n">
        <v>0.424386683180482</v>
      </c>
      <c r="AP77" s="11" t="n">
        <v>0.368410515422254</v>
      </c>
      <c r="AQ77" s="11" t="n">
        <v>0.322141794285083</v>
      </c>
      <c r="AR77" s="11" t="n">
        <v>0.285835022166786</v>
      </c>
      <c r="AS77" s="11" t="n">
        <v>0.258531826021189</v>
      </c>
      <c r="AT77" s="11" t="n">
        <v>0.241076861778283</v>
      </c>
      <c r="AU77" s="11" t="n">
        <v>0.226758967628946</v>
      </c>
      <c r="AV77" s="11" t="n">
        <v>0.212936794293946</v>
      </c>
      <c r="AW77" s="11" t="n">
        <v>0.199565922294412</v>
      </c>
      <c r="AX77" s="11" t="n">
        <v>0.186590750928915</v>
      </c>
      <c r="AY77" s="11" t="n">
        <v>0.174046197138246</v>
      </c>
      <c r="AZ77" s="11" t="n">
        <v>0.161983479911329</v>
      </c>
      <c r="BA77" s="11" t="n">
        <v>0.150400467322459</v>
      </c>
      <c r="BB77" s="11" t="n">
        <v>0.13936181180543</v>
      </c>
      <c r="BC77" s="11" t="n">
        <v>0.128895191298644</v>
      </c>
      <c r="BD77" s="11" t="n">
        <v>0.118904500196432</v>
      </c>
      <c r="BE77" s="11" t="n">
        <v>0.109349526815711</v>
      </c>
      <c r="BF77" s="11" t="n">
        <v>0.100319104098678</v>
      </c>
      <c r="BG77" s="11" t="n">
        <v>0.0919996124852704</v>
      </c>
      <c r="BH77" s="11" t="n">
        <v>0.0844347772643882</v>
      </c>
      <c r="BI77" s="11" t="n">
        <v>0.0775333629874345</v>
      </c>
      <c r="BJ77" s="11" t="n">
        <v>0.0713179532877864</v>
      </c>
      <c r="BK77" s="11" t="n">
        <v>0.0658073414465577</v>
      </c>
      <c r="BL77" s="11" t="n">
        <v>0.0609529171029171</v>
      </c>
      <c r="BM77" s="11" t="n">
        <v>0.0566275877942909</v>
      </c>
      <c r="BN77" s="11" t="n">
        <v>2.41644031033438</v>
      </c>
      <c r="BO77" s="11" t="n">
        <v>1.33434447188029</v>
      </c>
      <c r="BP77" s="11" t="n">
        <v>0.935123144566848</v>
      </c>
      <c r="BQ77" s="11" t="n">
        <v>0.646911497438676</v>
      </c>
    </row>
    <row r="78" customFormat="false" ht="13.8" hidden="false" customHeight="false" outlineLevel="0" collapsed="false">
      <c r="A78" s="11" t="s">
        <v>157</v>
      </c>
      <c r="B78" s="11" t="s">
        <v>150</v>
      </c>
      <c r="C78" s="11" t="s">
        <v>139</v>
      </c>
      <c r="D78" s="12"/>
      <c r="E78" s="11" t="n">
        <v>1.48366130882974</v>
      </c>
      <c r="F78" s="11" t="n">
        <v>1.24305334298279</v>
      </c>
      <c r="G78" s="11" t="n">
        <v>0.617640551647897</v>
      </c>
      <c r="H78" s="11" t="n">
        <v>0.538700846476154</v>
      </c>
      <c r="I78" s="11" t="n">
        <v>0.546409279966552</v>
      </c>
      <c r="J78" s="11" t="n">
        <v>0.532812121772293</v>
      </c>
      <c r="K78" s="11" t="n">
        <v>0.530646387885412</v>
      </c>
      <c r="L78" s="11" t="n">
        <v>0.444452684020109</v>
      </c>
      <c r="M78" s="11" t="n">
        <v>0.43171766732139</v>
      </c>
      <c r="N78" s="11" t="n">
        <v>0.407642882276656</v>
      </c>
      <c r="O78" s="11" t="n">
        <v>0.513448453064721</v>
      </c>
      <c r="P78" s="11" t="n">
        <v>0.426851949457178</v>
      </c>
      <c r="Q78" s="11" t="n">
        <v>0.358954196446409</v>
      </c>
      <c r="R78" s="11" t="n">
        <v>0.313808976049457</v>
      </c>
      <c r="S78" s="11" t="n">
        <v>0.398856113928177</v>
      </c>
      <c r="T78" s="11" t="n">
        <v>0.365128105171605</v>
      </c>
      <c r="U78" s="11" t="n">
        <v>0.367555231485997</v>
      </c>
      <c r="V78" s="11" t="n">
        <v>0.276529099776064</v>
      </c>
      <c r="W78" s="11" t="n">
        <v>0.254880819288731</v>
      </c>
      <c r="X78" s="11" t="n">
        <v>0.19500676652889</v>
      </c>
      <c r="Y78" s="11" t="n">
        <v>0.281496039558143</v>
      </c>
      <c r="Z78" s="11" t="n">
        <v>0.399303588048535</v>
      </c>
      <c r="AA78" s="11" t="n">
        <v>0.243138181819986</v>
      </c>
      <c r="AB78" s="11" t="n">
        <v>0.294217429839836</v>
      </c>
      <c r="AC78" s="11" t="n">
        <v>0.23782779605641</v>
      </c>
      <c r="AD78" s="11" t="n">
        <v>0.27442797543427</v>
      </c>
      <c r="AE78" s="11" t="n">
        <v>0.282656140525755</v>
      </c>
      <c r="AF78" s="11" t="n">
        <v>0.399670839674982</v>
      </c>
      <c r="AG78" s="11" t="n">
        <v>0.143010713300999</v>
      </c>
      <c r="AH78" s="11" t="n">
        <v>0.202358510131719</v>
      </c>
      <c r="AI78" s="11" t="n">
        <v>0.158297914028496</v>
      </c>
      <c r="AJ78" s="11" t="n">
        <v>0.194397699312559</v>
      </c>
      <c r="AK78" s="11" t="n">
        <v>0.151672562797158</v>
      </c>
      <c r="AL78" s="11" t="n">
        <v>0.145322964863698</v>
      </c>
      <c r="AM78" s="11" t="n">
        <v>0.157674757691205</v>
      </c>
      <c r="AN78" s="11" t="n">
        <v>0.157674757691205</v>
      </c>
      <c r="AO78" s="11" t="n">
        <v>0.157674757691205</v>
      </c>
      <c r="AP78" s="11" t="n">
        <v>0.157674757691205</v>
      </c>
      <c r="AQ78" s="11" t="n">
        <v>0.157674757691205</v>
      </c>
      <c r="AR78" s="11" t="n">
        <v>0.157674757691205</v>
      </c>
      <c r="AS78" s="11" t="n">
        <v>0.157674757691205</v>
      </c>
      <c r="AT78" s="11" t="n">
        <v>0.157674757691205</v>
      </c>
      <c r="AU78" s="11" t="n">
        <v>0.157674757691205</v>
      </c>
      <c r="AV78" s="11" t="n">
        <v>0.157674757691205</v>
      </c>
      <c r="AW78" s="11" t="n">
        <v>0.157674757691205</v>
      </c>
      <c r="AX78" s="11" t="n">
        <v>0.157674757691205</v>
      </c>
      <c r="AY78" s="11" t="n">
        <v>0.157674757691205</v>
      </c>
      <c r="AZ78" s="11" t="n">
        <v>0.157674757691205</v>
      </c>
      <c r="BA78" s="11" t="n">
        <v>0.157674757691205</v>
      </c>
      <c r="BB78" s="11" t="n">
        <v>0.157674757691205</v>
      </c>
      <c r="BC78" s="11" t="n">
        <v>0.157674757691205</v>
      </c>
      <c r="BD78" s="11" t="n">
        <v>0.157674757691205</v>
      </c>
      <c r="BE78" s="11" t="n">
        <v>0.157674757691205</v>
      </c>
      <c r="BF78" s="11" t="n">
        <v>0.157674757691205</v>
      </c>
      <c r="BG78" s="11" t="n">
        <v>0.157674757691205</v>
      </c>
      <c r="BH78" s="11" t="n">
        <v>0.157674757691205</v>
      </c>
      <c r="BI78" s="11" t="n">
        <v>0.157674757691205</v>
      </c>
      <c r="BJ78" s="11" t="n">
        <v>0.157674757691205</v>
      </c>
      <c r="BK78" s="11" t="n">
        <v>0.157674757691205</v>
      </c>
      <c r="BL78" s="11" t="n">
        <v>0.157674757691205</v>
      </c>
      <c r="BM78" s="11" t="n">
        <v>0.157674757691205</v>
      </c>
      <c r="BN78" s="11" t="n">
        <v>0.776021995628519</v>
      </c>
      <c r="BO78" s="11" t="n">
        <v>0.788373788456025</v>
      </c>
      <c r="BP78" s="11" t="n">
        <v>0.788373788456025</v>
      </c>
      <c r="BQ78" s="11" t="n">
        <v>0.788373788456025</v>
      </c>
    </row>
    <row r="79" customFormat="false" ht="13.8" hidden="false" customHeight="false" outlineLevel="0" collapsed="false">
      <c r="A79" s="11" t="s">
        <v>158</v>
      </c>
      <c r="B79" s="11" t="s">
        <v>150</v>
      </c>
      <c r="C79" s="11" t="s">
        <v>139</v>
      </c>
      <c r="D79" s="12"/>
      <c r="E79" s="11" t="n">
        <v>1.24291983149389</v>
      </c>
      <c r="F79" s="11" t="n">
        <v>1.3033380650546</v>
      </c>
      <c r="G79" s="11" t="n">
        <v>1.36957209756806</v>
      </c>
      <c r="H79" s="11" t="n">
        <v>1.19822362295174</v>
      </c>
      <c r="I79" s="11" t="n">
        <v>1.24424765770564</v>
      </c>
      <c r="J79" s="11" t="n">
        <v>1.29099147844553</v>
      </c>
      <c r="K79" s="11" t="n">
        <v>1.33841903033195</v>
      </c>
      <c r="L79" s="11" t="n">
        <v>1.31179173639896</v>
      </c>
      <c r="M79" s="11" t="n">
        <v>1.36070282137954</v>
      </c>
      <c r="N79" s="11" t="n">
        <v>1.53364172956695</v>
      </c>
      <c r="O79" s="11" t="n">
        <v>1.86203114027847</v>
      </c>
      <c r="P79" s="11" t="n">
        <v>1.47584681936645</v>
      </c>
      <c r="Q79" s="11" t="n">
        <v>1.51476662209972</v>
      </c>
      <c r="R79" s="11" t="n">
        <v>1.33398288885553</v>
      </c>
      <c r="S79" s="11" t="n">
        <v>1.12237909087011</v>
      </c>
      <c r="T79" s="11" t="n">
        <v>1.05689768072549</v>
      </c>
      <c r="U79" s="11" t="n">
        <v>0.875645821434384</v>
      </c>
      <c r="V79" s="11" t="n">
        <v>0.8315868666216</v>
      </c>
      <c r="W79" s="11" t="n">
        <v>0.670292526306523</v>
      </c>
      <c r="X79" s="11" t="n">
        <v>0.573575637388327</v>
      </c>
      <c r="Y79" s="11" t="n">
        <v>0.677275333999962</v>
      </c>
      <c r="Z79" s="11" t="n">
        <v>0.566450337664012</v>
      </c>
      <c r="AA79" s="11" t="n">
        <v>0.542274811410857</v>
      </c>
      <c r="AB79" s="11" t="n">
        <v>0.478647231455337</v>
      </c>
      <c r="AC79" s="11" t="n">
        <v>0.444232215587311</v>
      </c>
      <c r="AD79" s="11" t="n">
        <v>0.426418736992624</v>
      </c>
      <c r="AE79" s="11" t="n">
        <v>0.458386532676318</v>
      </c>
      <c r="AF79" s="11" t="n">
        <v>0.460093295564997</v>
      </c>
      <c r="AG79" s="11" t="n">
        <v>0.565037427403676</v>
      </c>
      <c r="AH79" s="11" t="n">
        <v>0.497196763554689</v>
      </c>
      <c r="AI79" s="11" t="n">
        <v>0.425406162786779</v>
      </c>
      <c r="AJ79" s="11" t="n">
        <v>0.38749956929647</v>
      </c>
      <c r="AK79" s="11" t="n">
        <v>0.333442729385777</v>
      </c>
      <c r="AL79" s="11" t="n">
        <v>0.301791676439176</v>
      </c>
      <c r="AM79" s="11" t="n">
        <v>0.307854862676676</v>
      </c>
      <c r="AN79" s="11" t="n">
        <v>0.314290204270114</v>
      </c>
      <c r="AO79" s="11" t="n">
        <v>0.320989403465887</v>
      </c>
      <c r="AP79" s="11" t="n">
        <v>0.327856082641555</v>
      </c>
      <c r="AQ79" s="11" t="n">
        <v>0.334894428796614</v>
      </c>
      <c r="AR79" s="11" t="n">
        <v>0.34210873360555</v>
      </c>
      <c r="AS79" s="11" t="n">
        <v>0.349503396034709</v>
      </c>
      <c r="AT79" s="11" t="n">
        <v>0.357082925024598</v>
      </c>
      <c r="AU79" s="11" t="n">
        <v>0.364851942239233</v>
      </c>
      <c r="AV79" s="11" t="n">
        <v>0.372815184884235</v>
      </c>
      <c r="AW79" s="11" t="n">
        <v>0.380977508595361</v>
      </c>
      <c r="AX79" s="11" t="n">
        <v>0.389343890399266</v>
      </c>
      <c r="AY79" s="11" t="n">
        <v>0.389343890399266</v>
      </c>
      <c r="AZ79" s="11" t="n">
        <v>0.389343890399266</v>
      </c>
      <c r="BA79" s="11" t="n">
        <v>0.389343890399266</v>
      </c>
      <c r="BB79" s="11" t="n">
        <v>0.389343890399266</v>
      </c>
      <c r="BC79" s="11" t="n">
        <v>0.389343890399266</v>
      </c>
      <c r="BD79" s="11" t="n">
        <v>0.389343890399266</v>
      </c>
      <c r="BE79" s="11" t="n">
        <v>0.389343890399266</v>
      </c>
      <c r="BF79" s="11" t="n">
        <v>0.389343890399266</v>
      </c>
      <c r="BG79" s="11" t="n">
        <v>0.389343890399266</v>
      </c>
      <c r="BH79" s="11" t="n">
        <v>0.389343890399266</v>
      </c>
      <c r="BI79" s="11" t="n">
        <v>0.389343890399266</v>
      </c>
      <c r="BJ79" s="11" t="n">
        <v>0.389343890399266</v>
      </c>
      <c r="BK79" s="11" t="n">
        <v>0.389343890399266</v>
      </c>
      <c r="BL79" s="11" t="n">
        <v>0.389343890399266</v>
      </c>
      <c r="BM79" s="11" t="n">
        <v>0.389343890399266</v>
      </c>
      <c r="BN79" s="11" t="n">
        <v>1.57278222949341</v>
      </c>
      <c r="BO79" s="11" t="n">
        <v>1.7484414257007</v>
      </c>
      <c r="BP79" s="11" t="n">
        <v>1.92182436467739</v>
      </c>
      <c r="BQ79" s="11" t="n">
        <v>1.94671945199633</v>
      </c>
    </row>
    <row r="80" customFormat="false" ht="13.8" hidden="false" customHeight="false" outlineLevel="0" collapsed="false">
      <c r="A80" s="11" t="s">
        <v>159</v>
      </c>
      <c r="B80" s="11" t="s">
        <v>150</v>
      </c>
      <c r="C80" s="11" t="s">
        <v>139</v>
      </c>
      <c r="D80" s="12"/>
      <c r="E80" s="11" t="n">
        <v>0.00010985408033557</v>
      </c>
      <c r="F80" s="11" t="n">
        <v>0.000130122158157483</v>
      </c>
      <c r="G80" s="11" t="n">
        <v>0.000154129696337539</v>
      </c>
      <c r="H80" s="11" t="n">
        <v>0.000182566625311815</v>
      </c>
      <c r="I80" s="11" t="n">
        <v>0.000216250167681844</v>
      </c>
      <c r="J80" s="11" t="n">
        <v>0.000256148323619145</v>
      </c>
      <c r="K80" s="11" t="n">
        <v>0.000303407689326877</v>
      </c>
      <c r="L80" s="11" t="n">
        <v>0.000359386408007685</v>
      </c>
      <c r="M80" s="11" t="n">
        <v>0.000413294369208839</v>
      </c>
      <c r="N80" s="11" t="n">
        <v>0.000475288524590164</v>
      </c>
      <c r="O80" s="11" t="n">
        <v>0.000546581803278689</v>
      </c>
      <c r="P80" s="11" t="n">
        <v>0.0003334149</v>
      </c>
      <c r="Q80" s="11" t="n">
        <v>0.000315667065</v>
      </c>
      <c r="R80" s="11" t="n">
        <v>0.000278092730755996</v>
      </c>
      <c r="S80" s="11" t="n">
        <v>0.000242880630310798</v>
      </c>
      <c r="T80" s="11" t="n">
        <v>0.000210030763664407</v>
      </c>
      <c r="U80" s="11" t="n">
        <v>0.000179543130816822</v>
      </c>
      <c r="V80" s="11" t="n">
        <v>0.000151417731768044</v>
      </c>
      <c r="W80" s="11" t="n">
        <v>0.000125654566518072</v>
      </c>
      <c r="X80" s="11" t="n">
        <v>0.000102253635066908</v>
      </c>
      <c r="Y80" s="11" t="n">
        <v>8.12149374145491E-005</v>
      </c>
      <c r="Z80" s="11" t="n">
        <v>7.29160376097755E-005</v>
      </c>
      <c r="AA80" s="11" t="n">
        <v>6.46171378050017E-005</v>
      </c>
      <c r="AB80" s="11" t="n">
        <v>5.63182380002279E-005</v>
      </c>
      <c r="AC80" s="11" t="n">
        <v>4.80193381954541E-005</v>
      </c>
      <c r="AD80" s="11" t="n">
        <v>3.97204383906805E-005</v>
      </c>
      <c r="AE80" s="11" t="n">
        <v>3.14215385859067E-005</v>
      </c>
      <c r="AF80" s="11" t="n">
        <v>2.65092764889187E-005</v>
      </c>
      <c r="AG80" s="11" t="n">
        <v>4.25164753911731E-005</v>
      </c>
      <c r="AH80" s="11" t="n">
        <v>4.67511840954731E-005</v>
      </c>
      <c r="AI80" s="11" t="n">
        <v>5.84389801193415E-005</v>
      </c>
      <c r="AJ80" s="11" t="n">
        <v>6.34359363904156E-005</v>
      </c>
      <c r="AK80" s="11" t="n">
        <v>6.34359363904156E-005</v>
      </c>
      <c r="AL80" s="11" t="n">
        <v>6.34359363904156E-005</v>
      </c>
      <c r="AM80" s="11" t="n">
        <v>6.34359363904156E-005</v>
      </c>
      <c r="AN80" s="11" t="n">
        <v>6.34359363904156E-005</v>
      </c>
      <c r="AO80" s="11" t="n">
        <v>6.34359363904156E-005</v>
      </c>
      <c r="AP80" s="11" t="n">
        <v>6.34359363904156E-005</v>
      </c>
      <c r="AQ80" s="11" t="n">
        <v>6.34359363904156E-005</v>
      </c>
      <c r="AR80" s="11" t="n">
        <v>6.34359363904156E-005</v>
      </c>
      <c r="AS80" s="11" t="n">
        <v>6.34359363904156E-005</v>
      </c>
      <c r="AT80" s="11" t="n">
        <v>6.34359363904156E-005</v>
      </c>
      <c r="AU80" s="11" t="n">
        <v>6.34359363904156E-005</v>
      </c>
      <c r="AV80" s="11" t="n">
        <v>6.34359363904156E-005</v>
      </c>
      <c r="AW80" s="11" t="n">
        <v>6.34359363904156E-005</v>
      </c>
      <c r="AX80" s="11" t="n">
        <v>6.34359363904156E-005</v>
      </c>
      <c r="AY80" s="11" t="n">
        <v>6.34359363904156E-005</v>
      </c>
      <c r="AZ80" s="11" t="n">
        <v>6.34359363904156E-005</v>
      </c>
      <c r="BA80" s="11" t="n">
        <v>6.34359363904156E-005</v>
      </c>
      <c r="BB80" s="11" t="n">
        <v>6.34359363904156E-005</v>
      </c>
      <c r="BC80" s="11" t="n">
        <v>6.34359363904156E-005</v>
      </c>
      <c r="BD80" s="11" t="n">
        <v>6.34359363904156E-005</v>
      </c>
      <c r="BE80" s="11" t="n">
        <v>6.34359363904156E-005</v>
      </c>
      <c r="BF80" s="11" t="n">
        <v>6.34359363904156E-005</v>
      </c>
      <c r="BG80" s="11" t="n">
        <v>6.34359363904156E-005</v>
      </c>
      <c r="BH80" s="11" t="n">
        <v>6.34359363904156E-005</v>
      </c>
      <c r="BI80" s="11" t="n">
        <v>6.34359363904156E-005</v>
      </c>
      <c r="BJ80" s="11" t="n">
        <v>6.34359363904156E-005</v>
      </c>
      <c r="BK80" s="11" t="n">
        <v>6.34359363904156E-005</v>
      </c>
      <c r="BL80" s="11" t="n">
        <v>6.34359363904156E-005</v>
      </c>
      <c r="BM80" s="11" t="n">
        <v>6.34359363904156E-005</v>
      </c>
      <c r="BN80" s="11" t="n">
        <v>0.000317179681952078</v>
      </c>
      <c r="BO80" s="11" t="n">
        <v>0.000317179681952078</v>
      </c>
      <c r="BP80" s="11" t="n">
        <v>0.000317179681952078</v>
      </c>
      <c r="BQ80" s="11" t="n">
        <v>0.000317179681952078</v>
      </c>
    </row>
    <row r="81" customFormat="false" ht="35" hidden="false" customHeight="true" outlineLevel="0" collapsed="false">
      <c r="A81" s="11" t="s">
        <v>153</v>
      </c>
      <c r="B81" s="11" t="s">
        <v>151</v>
      </c>
      <c r="C81" s="11" t="s">
        <v>139</v>
      </c>
      <c r="D81" s="12"/>
      <c r="E81" s="11" t="n">
        <v>3.1366894759255</v>
      </c>
      <c r="F81" s="11" t="n">
        <v>2.64590035922343</v>
      </c>
      <c r="G81" s="11" t="n">
        <v>1.8477796127697</v>
      </c>
      <c r="H81" s="11" t="n">
        <v>1.28644704484234</v>
      </c>
      <c r="I81" s="11" t="n">
        <v>0.874250413453483</v>
      </c>
      <c r="J81" s="11" t="n">
        <v>0.914786030229379</v>
      </c>
      <c r="K81" s="11" t="n">
        <v>-0.0331843899851094</v>
      </c>
      <c r="L81" s="11" t="n">
        <v>-0.570116711922319</v>
      </c>
      <c r="M81" s="11" t="n">
        <v>-1.31261009502556</v>
      </c>
      <c r="N81" s="11" t="n">
        <v>-1.1527813422767</v>
      </c>
      <c r="O81" s="11" t="n">
        <v>-1.40670380967501</v>
      </c>
      <c r="P81" s="11" t="n">
        <v>-2.01600133506448</v>
      </c>
      <c r="Q81" s="11" t="n">
        <v>-2.8167138123045</v>
      </c>
      <c r="R81" s="11" t="n">
        <v>-3.01042462337194</v>
      </c>
      <c r="S81" s="11" t="n">
        <v>-3.79526905497162</v>
      </c>
      <c r="T81" s="11" t="n">
        <v>-4.15564157030236</v>
      </c>
      <c r="U81" s="11" t="n">
        <v>-4.54066725216173</v>
      </c>
      <c r="V81" s="11" t="n">
        <v>-5.16844986065019</v>
      </c>
      <c r="W81" s="11" t="n">
        <v>-5.81241863383177</v>
      </c>
      <c r="X81" s="11" t="n">
        <v>-5.87396675511639</v>
      </c>
      <c r="Y81" s="11" t="n">
        <v>-5.97209992665329</v>
      </c>
      <c r="Z81" s="11" t="n">
        <v>-6.63567006740149</v>
      </c>
      <c r="AA81" s="11" t="n">
        <v>-6.49128567659346</v>
      </c>
      <c r="AB81" s="11" t="n">
        <v>-6.59749608917909</v>
      </c>
      <c r="AC81" s="11" t="n">
        <v>-6.87194202695989</v>
      </c>
      <c r="AD81" s="11" t="n">
        <v>-7.00891055588537</v>
      </c>
      <c r="AE81" s="11" t="n">
        <v>-6.66972443253557</v>
      </c>
      <c r="AF81" s="11" t="n">
        <v>-6.92671811874823</v>
      </c>
      <c r="AG81" s="11" t="n">
        <v>-6.32774799319137</v>
      </c>
      <c r="AH81" s="11" t="n">
        <v>-6.48051567178737</v>
      </c>
      <c r="AI81" s="11" t="n">
        <v>-6.591638799743</v>
      </c>
      <c r="AJ81" s="11" t="n">
        <v>-6.75838645693147</v>
      </c>
      <c r="AK81" s="11" t="n">
        <v>-6.48332850914311</v>
      </c>
      <c r="AL81" s="11" t="n">
        <v>-5.94650504084319</v>
      </c>
      <c r="AM81" s="11" t="n">
        <v>-6.31465780867662</v>
      </c>
      <c r="AN81" s="11" t="n">
        <v>-6.28112842251987</v>
      </c>
      <c r="AO81" s="11" t="n">
        <v>-6.23439944822025</v>
      </c>
      <c r="AP81" s="11" t="n">
        <v>-6.16395446929955</v>
      </c>
      <c r="AQ81" s="11" t="n">
        <v>-6.20979072918648</v>
      </c>
      <c r="AR81" s="11" t="n">
        <v>-6.10566807175222</v>
      </c>
      <c r="AS81" s="11" t="n">
        <v>-5.99361772652228</v>
      </c>
      <c r="AT81" s="11" t="n">
        <v>-5.73642473396157</v>
      </c>
      <c r="AU81" s="11" t="n">
        <v>-5.46820197533959</v>
      </c>
      <c r="AV81" s="11" t="n">
        <v>-5.1420409270604</v>
      </c>
      <c r="AW81" s="11" t="n">
        <v>-4.79418888361432</v>
      </c>
      <c r="AX81" s="11" t="n">
        <v>-4.4496377101011</v>
      </c>
      <c r="AY81" s="11" t="n">
        <v>-4.11629335956163</v>
      </c>
      <c r="AZ81" s="11" t="n">
        <v>-3.82003642734051</v>
      </c>
      <c r="BA81" s="11" t="n">
        <v>-3.59155561246193</v>
      </c>
      <c r="BB81" s="11" t="n">
        <v>-3.36393462173589</v>
      </c>
      <c r="BC81" s="11" t="n">
        <v>-3.17261853477081</v>
      </c>
      <c r="BD81" s="11" t="n">
        <v>-2.97679186653073</v>
      </c>
      <c r="BE81" s="11" t="n">
        <v>-2.85322572848525</v>
      </c>
      <c r="BF81" s="11" t="n">
        <v>-2.77681791863141</v>
      </c>
      <c r="BG81" s="11" t="n">
        <v>-2.72420655163424</v>
      </c>
      <c r="BH81" s="11" t="n">
        <v>-2.71444533306655</v>
      </c>
      <c r="BI81" s="11" t="n">
        <v>-2.67926553675099</v>
      </c>
      <c r="BJ81" s="11" t="n">
        <v>-2.6716793105756</v>
      </c>
      <c r="BK81" s="11" t="n">
        <v>-2.71229873645533</v>
      </c>
      <c r="BL81" s="11" t="n">
        <v>-2.76019142104397</v>
      </c>
      <c r="BM81" s="11" t="n">
        <v>-2.82359882358394</v>
      </c>
      <c r="BN81" s="11" t="n">
        <v>-30.9406451895595</v>
      </c>
      <c r="BO81" s="11" t="n">
        <v>-29.5137032367621</v>
      </c>
      <c r="BP81" s="11" t="n">
        <v>-22.322197307678</v>
      </c>
      <c r="BQ81" s="11" t="n">
        <v>-15.9581263639846</v>
      </c>
    </row>
    <row r="82" customFormat="false" ht="13.8" hidden="false" customHeight="false" outlineLevel="0" collapsed="false">
      <c r="A82" s="11" t="s">
        <v>154</v>
      </c>
      <c r="B82" s="11" t="s">
        <v>151</v>
      </c>
      <c r="C82" s="11" t="s">
        <v>139</v>
      </c>
      <c r="D82" s="12"/>
      <c r="E82" s="11" t="n">
        <v>5.56985359058886</v>
      </c>
      <c r="F82" s="11" t="n">
        <v>5.56430361710572</v>
      </c>
      <c r="G82" s="11" t="n">
        <v>5.55186504357903</v>
      </c>
      <c r="H82" s="11" t="n">
        <v>5.54746647872345</v>
      </c>
      <c r="I82" s="11" t="n">
        <v>5.53902951394119</v>
      </c>
      <c r="J82" s="11" t="n">
        <v>5.54965155198649</v>
      </c>
      <c r="K82" s="11" t="n">
        <v>5.53405930164696</v>
      </c>
      <c r="L82" s="11" t="n">
        <v>5.53275439592587</v>
      </c>
      <c r="M82" s="11" t="n">
        <v>5.52090773899383</v>
      </c>
      <c r="N82" s="11" t="n">
        <v>5.51032845283192</v>
      </c>
      <c r="O82" s="11" t="n">
        <v>5.53126685111144</v>
      </c>
      <c r="P82" s="11" t="n">
        <v>5.53557792459205</v>
      </c>
      <c r="Q82" s="11" t="n">
        <v>5.54022506047871</v>
      </c>
      <c r="R82" s="11" t="n">
        <v>5.57497247909675</v>
      </c>
      <c r="S82" s="11" t="n">
        <v>5.5512000043192</v>
      </c>
      <c r="T82" s="11" t="n">
        <v>5.56596570607276</v>
      </c>
      <c r="U82" s="11" t="n">
        <v>5.56539221894618</v>
      </c>
      <c r="V82" s="11" t="n">
        <v>5.58314839211735</v>
      </c>
      <c r="W82" s="11" t="n">
        <v>5.57797283010561</v>
      </c>
      <c r="X82" s="11" t="n">
        <v>5.57878522339054</v>
      </c>
      <c r="Y82" s="11" t="n">
        <v>5.60501096444991</v>
      </c>
      <c r="Z82" s="11" t="n">
        <v>5.62372281146322</v>
      </c>
      <c r="AA82" s="11" t="n">
        <v>5.61193731105979</v>
      </c>
      <c r="AB82" s="11" t="n">
        <v>5.62617031143544</v>
      </c>
      <c r="AC82" s="11" t="n">
        <v>5.60602836886574</v>
      </c>
      <c r="AD82" s="11" t="n">
        <v>5.62278898771432</v>
      </c>
      <c r="AE82" s="11" t="n">
        <v>5.64143854355453</v>
      </c>
      <c r="AF82" s="11" t="n">
        <v>5.63907784389891</v>
      </c>
      <c r="AG82" s="11" t="n">
        <v>5.69160270708722</v>
      </c>
      <c r="AH82" s="11" t="n">
        <v>5.70956542589149</v>
      </c>
      <c r="AI82" s="11" t="n">
        <v>5.68909600002544</v>
      </c>
      <c r="AJ82" s="11" t="n">
        <v>5.69657165648638</v>
      </c>
      <c r="AK82" s="11" t="n">
        <v>5.71939302059152</v>
      </c>
      <c r="AL82" s="11" t="n">
        <v>5.75129142539663</v>
      </c>
      <c r="AM82" s="11" t="n">
        <v>5.77843961940047</v>
      </c>
      <c r="AN82" s="11" t="n">
        <v>5.82893431121417</v>
      </c>
      <c r="AO82" s="11" t="n">
        <v>5.87516461238545</v>
      </c>
      <c r="AP82" s="11" t="n">
        <v>5.92092678246997</v>
      </c>
      <c r="AQ82" s="11" t="n">
        <v>5.96055627423853</v>
      </c>
      <c r="AR82" s="11" t="n">
        <v>6.00469813847711</v>
      </c>
      <c r="AS82" s="11" t="n">
        <v>6.04871755683646</v>
      </c>
      <c r="AT82" s="11" t="n">
        <v>6.05489975770093</v>
      </c>
      <c r="AU82" s="11" t="n">
        <v>6.05930697368643</v>
      </c>
      <c r="AV82" s="11" t="n">
        <v>6.05892463983379</v>
      </c>
      <c r="AW82" s="11" t="n">
        <v>6.05840612219306</v>
      </c>
      <c r="AX82" s="11" t="n">
        <v>6.05759619889439</v>
      </c>
      <c r="AY82" s="11" t="n">
        <v>6.05669382061205</v>
      </c>
      <c r="AZ82" s="11" t="n">
        <v>6.05564215321823</v>
      </c>
      <c r="BA82" s="11" t="n">
        <v>6.05407666296171</v>
      </c>
      <c r="BB82" s="11" t="n">
        <v>6.05265111772195</v>
      </c>
      <c r="BC82" s="11" t="n">
        <v>6.05111180786036</v>
      </c>
      <c r="BD82" s="11" t="n">
        <v>6.05087833472176</v>
      </c>
      <c r="BE82" s="11" t="n">
        <v>6.05117502944992</v>
      </c>
      <c r="BF82" s="11" t="n">
        <v>6.05153060471665</v>
      </c>
      <c r="BG82" s="11" t="n">
        <v>6.04367299685357</v>
      </c>
      <c r="BH82" s="11" t="n">
        <v>6.03767307245211</v>
      </c>
      <c r="BI82" s="11" t="n">
        <v>6.02978817960863</v>
      </c>
      <c r="BJ82" s="11" t="n">
        <v>6.02218043965274</v>
      </c>
      <c r="BK82" s="11" t="n">
        <v>6.01467645946508</v>
      </c>
      <c r="BL82" s="11" t="n">
        <v>6.00717891892895</v>
      </c>
      <c r="BM82" s="11" t="n">
        <v>5.99961675817016</v>
      </c>
      <c r="BN82" s="11" t="n">
        <v>29.1547567508667</v>
      </c>
      <c r="BO82" s="11" t="n">
        <v>30.1281787009395</v>
      </c>
      <c r="BP82" s="11" t="n">
        <v>30.2872629347515</v>
      </c>
      <c r="BQ82" s="11" t="n">
        <v>30.2598929527157</v>
      </c>
    </row>
    <row r="83" customFormat="false" ht="13.8" hidden="false" customHeight="false" outlineLevel="0" collapsed="false">
      <c r="A83" s="11" t="s">
        <v>155</v>
      </c>
      <c r="B83" s="11" t="s">
        <v>151</v>
      </c>
      <c r="C83" s="11" t="s">
        <v>139</v>
      </c>
      <c r="D83" s="12"/>
      <c r="E83" s="11" t="n">
        <v>1.91732956481603</v>
      </c>
      <c r="F83" s="11" t="n">
        <v>1.90153517927825</v>
      </c>
      <c r="G83" s="11" t="n">
        <v>1.87956996974072</v>
      </c>
      <c r="H83" s="11" t="n">
        <v>1.8599349666022</v>
      </c>
      <c r="I83" s="11" t="n">
        <v>1.84171282848447</v>
      </c>
      <c r="J83" s="11" t="n">
        <v>1.82964398551786</v>
      </c>
      <c r="K83" s="11" t="n">
        <v>1.79801390399677</v>
      </c>
      <c r="L83" s="11" t="n">
        <v>1.78701240323688</v>
      </c>
      <c r="M83" s="11" t="n">
        <v>1.75335535072427</v>
      </c>
      <c r="N83" s="11" t="n">
        <v>1.71867900810787</v>
      </c>
      <c r="O83" s="11" t="n">
        <v>1.69193702036097</v>
      </c>
      <c r="P83" s="11" t="n">
        <v>1.65394255242475</v>
      </c>
      <c r="Q83" s="11" t="n">
        <v>1.62227523184728</v>
      </c>
      <c r="R83" s="11" t="n">
        <v>1.62105082009116</v>
      </c>
      <c r="S83" s="11" t="n">
        <v>1.57005941985923</v>
      </c>
      <c r="T83" s="11" t="n">
        <v>1.5459097335571</v>
      </c>
      <c r="U83" s="11" t="n">
        <v>1.51233022580461</v>
      </c>
      <c r="V83" s="11" t="n">
        <v>1.49533860144359</v>
      </c>
      <c r="W83" s="11" t="n">
        <v>1.46219483789502</v>
      </c>
      <c r="X83" s="11" t="n">
        <v>1.43076537215641</v>
      </c>
      <c r="Y83" s="11" t="n">
        <v>1.41715709137731</v>
      </c>
      <c r="Z83" s="11" t="n">
        <v>1.41583871602083</v>
      </c>
      <c r="AA83" s="11" t="n">
        <v>1.38469473911457</v>
      </c>
      <c r="AB83" s="11" t="n">
        <v>1.37029423394534</v>
      </c>
      <c r="AC83" s="11" t="n">
        <v>1.33794451268606</v>
      </c>
      <c r="AD83" s="11" t="n">
        <v>1.32440542149874</v>
      </c>
      <c r="AE83" s="11" t="n">
        <v>1.32333109988864</v>
      </c>
      <c r="AF83" s="11" t="n">
        <v>1.30885009967283</v>
      </c>
      <c r="AG83" s="11" t="n">
        <v>1.32089987751271</v>
      </c>
      <c r="AH83" s="11" t="n">
        <v>1.32259926454372</v>
      </c>
      <c r="AI83" s="11" t="n">
        <v>1.30381843700653</v>
      </c>
      <c r="AJ83" s="11" t="n">
        <v>1.29683614041948</v>
      </c>
      <c r="AK83" s="11" t="n">
        <v>1.30568761331629</v>
      </c>
      <c r="AL83" s="11" t="n">
        <v>1.31492760424438</v>
      </c>
      <c r="AM83" s="11" t="n">
        <v>1.30869212702159</v>
      </c>
      <c r="AN83" s="11" t="n">
        <v>1.30558183242501</v>
      </c>
      <c r="AO83" s="11" t="n">
        <v>1.30103872727442</v>
      </c>
      <c r="AP83" s="11" t="n">
        <v>1.29552122925488</v>
      </c>
      <c r="AQ83" s="11" t="n">
        <v>1.28845590662428</v>
      </c>
      <c r="AR83" s="11" t="n">
        <v>1.28591283458635</v>
      </c>
      <c r="AS83" s="11" t="n">
        <v>1.2817780166774</v>
      </c>
      <c r="AT83" s="11" t="n">
        <v>1.27537728919459</v>
      </c>
      <c r="AU83" s="11" t="n">
        <v>1.26890132380126</v>
      </c>
      <c r="AV83" s="11" t="n">
        <v>1.26313673963475</v>
      </c>
      <c r="AW83" s="11" t="n">
        <v>1.25823816476475</v>
      </c>
      <c r="AX83" s="11" t="n">
        <v>1.25473819305763</v>
      </c>
      <c r="AY83" s="11" t="n">
        <v>1.25065906791667</v>
      </c>
      <c r="AZ83" s="11" t="n">
        <v>1.24549429914468</v>
      </c>
      <c r="BA83" s="11" t="n">
        <v>1.24026597254957</v>
      </c>
      <c r="BB83" s="11" t="n">
        <v>1.23326284204797</v>
      </c>
      <c r="BC83" s="11" t="n">
        <v>1.22685585854739</v>
      </c>
      <c r="BD83" s="11" t="n">
        <v>1.22078377634931</v>
      </c>
      <c r="BE83" s="11" t="n">
        <v>1.21481978409925</v>
      </c>
      <c r="BF83" s="11" t="n">
        <v>1.20770352847066</v>
      </c>
      <c r="BG83" s="11" t="n">
        <v>1.20017142991448</v>
      </c>
      <c r="BH83" s="11" t="n">
        <v>1.19641055769795</v>
      </c>
      <c r="BI83" s="11" t="n">
        <v>1.19365266389304</v>
      </c>
      <c r="BJ83" s="11" t="n">
        <v>1.19082447705096</v>
      </c>
      <c r="BK83" s="11" t="n">
        <v>1.18807087556984</v>
      </c>
      <c r="BL83" s="11" t="n">
        <v>1.18532003173302</v>
      </c>
      <c r="BM83" s="11" t="n">
        <v>1.1826039621034</v>
      </c>
      <c r="BN83" s="11" t="n">
        <v>6.52576152022028</v>
      </c>
      <c r="BO83" s="11" t="n">
        <v>6.40042537088389</v>
      </c>
      <c r="BP83" s="11" t="n">
        <v>6.27226646451849</v>
      </c>
      <c r="BQ83" s="11" t="n">
        <v>6.13598823359349</v>
      </c>
    </row>
    <row r="84" customFormat="false" ht="13.8" hidden="false" customHeight="false" outlineLevel="0" collapsed="false">
      <c r="A84" s="11" t="s">
        <v>156</v>
      </c>
      <c r="B84" s="11" t="s">
        <v>151</v>
      </c>
      <c r="C84" s="11" t="s">
        <v>139</v>
      </c>
      <c r="D84" s="12"/>
      <c r="E84" s="11" t="n">
        <v>0</v>
      </c>
      <c r="F84" s="11" t="n">
        <v>0</v>
      </c>
      <c r="G84" s="11" t="n">
        <v>0</v>
      </c>
      <c r="H84" s="11" t="n">
        <v>0</v>
      </c>
      <c r="I84" s="11" t="n">
        <v>0</v>
      </c>
      <c r="J84" s="11" t="n">
        <v>0</v>
      </c>
      <c r="K84" s="11" t="n">
        <v>0</v>
      </c>
      <c r="L84" s="11" t="n">
        <v>0</v>
      </c>
      <c r="M84" s="11" t="n">
        <v>0</v>
      </c>
      <c r="N84" s="11" t="n">
        <v>0</v>
      </c>
      <c r="O84" s="11" t="n">
        <v>0</v>
      </c>
      <c r="P84" s="11" t="n">
        <v>0</v>
      </c>
      <c r="Q84" s="11" t="n">
        <v>0</v>
      </c>
      <c r="R84" s="11" t="n">
        <v>0</v>
      </c>
      <c r="S84" s="11" t="n">
        <v>0</v>
      </c>
      <c r="T84" s="11" t="n">
        <v>0</v>
      </c>
      <c r="U84" s="11" t="n">
        <v>0</v>
      </c>
      <c r="V84" s="11" t="n">
        <v>0</v>
      </c>
      <c r="W84" s="11" t="n">
        <v>0</v>
      </c>
      <c r="X84" s="11" t="n">
        <v>0</v>
      </c>
      <c r="Y84" s="11" t="n">
        <v>0</v>
      </c>
      <c r="Z84" s="11" t="n">
        <v>0</v>
      </c>
      <c r="AA84" s="11" t="n">
        <v>0</v>
      </c>
      <c r="AB84" s="11" t="n">
        <v>0</v>
      </c>
      <c r="AC84" s="11" t="n">
        <v>0</v>
      </c>
      <c r="AD84" s="11" t="n">
        <v>0</v>
      </c>
      <c r="AE84" s="11" t="n">
        <v>0</v>
      </c>
      <c r="AF84" s="11" t="n">
        <v>0</v>
      </c>
      <c r="AG84" s="11" t="n">
        <v>0</v>
      </c>
      <c r="AH84" s="11" t="n">
        <v>0</v>
      </c>
      <c r="AI84" s="11" t="n">
        <v>0</v>
      </c>
      <c r="AJ84" s="11" t="n">
        <v>0</v>
      </c>
      <c r="AK84" s="11" t="n">
        <v>0</v>
      </c>
      <c r="AL84" s="11" t="n">
        <v>0</v>
      </c>
      <c r="AM84" s="11" t="n">
        <v>0</v>
      </c>
      <c r="AN84" s="11" t="n">
        <v>0</v>
      </c>
      <c r="AO84" s="11" t="n">
        <v>0</v>
      </c>
      <c r="AP84" s="11" t="n">
        <v>0</v>
      </c>
      <c r="AQ84" s="11" t="n">
        <v>0</v>
      </c>
      <c r="AR84" s="11" t="n">
        <v>0</v>
      </c>
      <c r="AS84" s="11" t="n">
        <v>0</v>
      </c>
      <c r="AT84" s="11" t="n">
        <v>0</v>
      </c>
      <c r="AU84" s="11" t="n">
        <v>0</v>
      </c>
      <c r="AV84" s="11" t="n">
        <v>0</v>
      </c>
      <c r="AW84" s="11" t="n">
        <v>0</v>
      </c>
      <c r="AX84" s="11" t="n">
        <v>0</v>
      </c>
      <c r="AY84" s="11" t="n">
        <v>0</v>
      </c>
      <c r="AZ84" s="11" t="n">
        <v>0</v>
      </c>
      <c r="BA84" s="11" t="n">
        <v>0</v>
      </c>
      <c r="BB84" s="11" t="n">
        <v>0</v>
      </c>
      <c r="BC84" s="11" t="n">
        <v>0</v>
      </c>
      <c r="BD84" s="11" t="n">
        <v>0</v>
      </c>
      <c r="BE84" s="11" t="n">
        <v>0</v>
      </c>
      <c r="BF84" s="11" t="n">
        <v>0</v>
      </c>
      <c r="BG84" s="11" t="n">
        <v>0</v>
      </c>
      <c r="BH84" s="11" t="n">
        <v>0</v>
      </c>
      <c r="BI84" s="11" t="n">
        <v>0</v>
      </c>
      <c r="BJ84" s="11" t="n">
        <v>0</v>
      </c>
      <c r="BK84" s="11" t="n">
        <v>0</v>
      </c>
      <c r="BL84" s="11" t="n">
        <v>0</v>
      </c>
      <c r="BM84" s="11" t="n">
        <v>0</v>
      </c>
      <c r="BN84" s="11" t="n">
        <v>0</v>
      </c>
      <c r="BO84" s="11" t="n">
        <v>0</v>
      </c>
      <c r="BP84" s="11" t="n">
        <v>0</v>
      </c>
      <c r="BQ84" s="11" t="n">
        <v>0</v>
      </c>
    </row>
    <row r="85" customFormat="false" ht="13.8" hidden="false" customHeight="false" outlineLevel="0" collapsed="false">
      <c r="A85" s="11" t="s">
        <v>157</v>
      </c>
      <c r="B85" s="11" t="s">
        <v>151</v>
      </c>
      <c r="C85" s="11" t="s">
        <v>139</v>
      </c>
      <c r="D85" s="12"/>
      <c r="E85" s="11" t="n">
        <v>0</v>
      </c>
      <c r="F85" s="11" t="n">
        <v>0</v>
      </c>
      <c r="G85" s="11" t="n">
        <v>0</v>
      </c>
      <c r="H85" s="11" t="n">
        <v>0</v>
      </c>
      <c r="I85" s="11" t="n">
        <v>0</v>
      </c>
      <c r="J85" s="11" t="n">
        <v>0</v>
      </c>
      <c r="K85" s="11" t="n">
        <v>0</v>
      </c>
      <c r="L85" s="11" t="n">
        <v>0</v>
      </c>
      <c r="M85" s="11" t="n">
        <v>0</v>
      </c>
      <c r="N85" s="11" t="n">
        <v>0</v>
      </c>
      <c r="O85" s="11" t="n">
        <v>0</v>
      </c>
      <c r="P85" s="11" t="n">
        <v>0</v>
      </c>
      <c r="Q85" s="11" t="n">
        <v>0</v>
      </c>
      <c r="R85" s="11" t="n">
        <v>0</v>
      </c>
      <c r="S85" s="11" t="n">
        <v>0</v>
      </c>
      <c r="T85" s="11" t="n">
        <v>0</v>
      </c>
      <c r="U85" s="11" t="n">
        <v>0</v>
      </c>
      <c r="V85" s="11" t="n">
        <v>0</v>
      </c>
      <c r="W85" s="11" t="n">
        <v>0</v>
      </c>
      <c r="X85" s="11" t="n">
        <v>0</v>
      </c>
      <c r="Y85" s="11" t="n">
        <v>0</v>
      </c>
      <c r="Z85" s="11" t="n">
        <v>0</v>
      </c>
      <c r="AA85" s="11" t="n">
        <v>0</v>
      </c>
      <c r="AB85" s="11" t="n">
        <v>0</v>
      </c>
      <c r="AC85" s="11" t="n">
        <v>0</v>
      </c>
      <c r="AD85" s="11" t="n">
        <v>0</v>
      </c>
      <c r="AE85" s="11" t="n">
        <v>0</v>
      </c>
      <c r="AF85" s="11" t="n">
        <v>0</v>
      </c>
      <c r="AG85" s="11" t="n">
        <v>0</v>
      </c>
      <c r="AH85" s="11" t="n">
        <v>0</v>
      </c>
      <c r="AI85" s="11" t="n">
        <v>0</v>
      </c>
      <c r="AJ85" s="11" t="n">
        <v>0</v>
      </c>
      <c r="AK85" s="11" t="n">
        <v>0</v>
      </c>
      <c r="AL85" s="11" t="n">
        <v>0</v>
      </c>
      <c r="AM85" s="11" t="n">
        <v>0</v>
      </c>
      <c r="AN85" s="11" t="n">
        <v>0</v>
      </c>
      <c r="AO85" s="11" t="n">
        <v>0</v>
      </c>
      <c r="AP85" s="11" t="n">
        <v>0</v>
      </c>
      <c r="AQ85" s="11" t="n">
        <v>0</v>
      </c>
      <c r="AR85" s="11" t="n">
        <v>0</v>
      </c>
      <c r="AS85" s="11" t="n">
        <v>0</v>
      </c>
      <c r="AT85" s="11" t="n">
        <v>0</v>
      </c>
      <c r="AU85" s="11" t="n">
        <v>0</v>
      </c>
      <c r="AV85" s="11" t="n">
        <v>0</v>
      </c>
      <c r="AW85" s="11" t="n">
        <v>0</v>
      </c>
      <c r="AX85" s="11" t="n">
        <v>0</v>
      </c>
      <c r="AY85" s="11" t="n">
        <v>0</v>
      </c>
      <c r="AZ85" s="11" t="n">
        <v>0</v>
      </c>
      <c r="BA85" s="11" t="n">
        <v>0</v>
      </c>
      <c r="BB85" s="11" t="n">
        <v>0</v>
      </c>
      <c r="BC85" s="11" t="n">
        <v>0</v>
      </c>
      <c r="BD85" s="11" t="n">
        <v>0</v>
      </c>
      <c r="BE85" s="11" t="n">
        <v>0</v>
      </c>
      <c r="BF85" s="11" t="n">
        <v>0</v>
      </c>
      <c r="BG85" s="11" t="n">
        <v>0</v>
      </c>
      <c r="BH85" s="11" t="n">
        <v>0</v>
      </c>
      <c r="BI85" s="11" t="n">
        <v>0</v>
      </c>
      <c r="BJ85" s="11" t="n">
        <v>0</v>
      </c>
      <c r="BK85" s="11" t="n">
        <v>0</v>
      </c>
      <c r="BL85" s="11" t="n">
        <v>0</v>
      </c>
      <c r="BM85" s="11" t="n">
        <v>0</v>
      </c>
      <c r="BN85" s="11" t="n">
        <v>0</v>
      </c>
      <c r="BO85" s="11" t="n">
        <v>0</v>
      </c>
      <c r="BP85" s="11" t="n">
        <v>0</v>
      </c>
      <c r="BQ85" s="11" t="n">
        <v>0</v>
      </c>
    </row>
    <row r="86" customFormat="false" ht="13.8" hidden="false" customHeight="false" outlineLevel="0" collapsed="false">
      <c r="A86" s="11" t="s">
        <v>158</v>
      </c>
      <c r="B86" s="11" t="s">
        <v>151</v>
      </c>
      <c r="C86" s="11" t="s">
        <v>139</v>
      </c>
      <c r="D86" s="12"/>
      <c r="E86" s="11" t="n">
        <v>0</v>
      </c>
      <c r="F86" s="11" t="n">
        <v>0</v>
      </c>
      <c r="G86" s="11" t="n">
        <v>0</v>
      </c>
      <c r="H86" s="11" t="n">
        <v>0</v>
      </c>
      <c r="I86" s="11" t="n">
        <v>0</v>
      </c>
      <c r="J86" s="11" t="n">
        <v>0</v>
      </c>
      <c r="K86" s="11" t="n">
        <v>0</v>
      </c>
      <c r="L86" s="11" t="n">
        <v>0</v>
      </c>
      <c r="M86" s="11" t="n">
        <v>0</v>
      </c>
      <c r="N86" s="11" t="n">
        <v>0</v>
      </c>
      <c r="O86" s="11" t="n">
        <v>0</v>
      </c>
      <c r="P86" s="11" t="n">
        <v>0</v>
      </c>
      <c r="Q86" s="11" t="n">
        <v>0</v>
      </c>
      <c r="R86" s="11" t="n">
        <v>0</v>
      </c>
      <c r="S86" s="11" t="n">
        <v>0</v>
      </c>
      <c r="T86" s="11" t="n">
        <v>0</v>
      </c>
      <c r="U86" s="11" t="n">
        <v>0</v>
      </c>
      <c r="V86" s="11" t="n">
        <v>0</v>
      </c>
      <c r="W86" s="11" t="n">
        <v>0</v>
      </c>
      <c r="X86" s="11" t="n">
        <v>0</v>
      </c>
      <c r="Y86" s="11" t="n">
        <v>0</v>
      </c>
      <c r="Z86" s="11" t="n">
        <v>0</v>
      </c>
      <c r="AA86" s="11" t="n">
        <v>0</v>
      </c>
      <c r="AB86" s="11" t="n">
        <v>0</v>
      </c>
      <c r="AC86" s="11" t="n">
        <v>0</v>
      </c>
      <c r="AD86" s="11" t="n">
        <v>0</v>
      </c>
      <c r="AE86" s="11" t="n">
        <v>0</v>
      </c>
      <c r="AF86" s="11" t="n">
        <v>0</v>
      </c>
      <c r="AG86" s="11" t="n">
        <v>0</v>
      </c>
      <c r="AH86" s="11" t="n">
        <v>0</v>
      </c>
      <c r="AI86" s="11" t="n">
        <v>0</v>
      </c>
      <c r="AJ86" s="11" t="n">
        <v>0</v>
      </c>
      <c r="AK86" s="11" t="n">
        <v>0</v>
      </c>
      <c r="AL86" s="11" t="n">
        <v>0</v>
      </c>
      <c r="AM86" s="11" t="n">
        <v>0</v>
      </c>
      <c r="AN86" s="11" t="n">
        <v>0</v>
      </c>
      <c r="AO86" s="11" t="n">
        <v>0</v>
      </c>
      <c r="AP86" s="11" t="n">
        <v>0</v>
      </c>
      <c r="AQ86" s="11" t="n">
        <v>0</v>
      </c>
      <c r="AR86" s="11" t="n">
        <v>0</v>
      </c>
      <c r="AS86" s="11" t="n">
        <v>0</v>
      </c>
      <c r="AT86" s="11" t="n">
        <v>0</v>
      </c>
      <c r="AU86" s="11" t="n">
        <v>0</v>
      </c>
      <c r="AV86" s="11" t="n">
        <v>0</v>
      </c>
      <c r="AW86" s="11" t="n">
        <v>0</v>
      </c>
      <c r="AX86" s="11" t="n">
        <v>0</v>
      </c>
      <c r="AY86" s="11" t="n">
        <v>0</v>
      </c>
      <c r="AZ86" s="11" t="n">
        <v>0</v>
      </c>
      <c r="BA86" s="11" t="n">
        <v>0</v>
      </c>
      <c r="BB86" s="11" t="n">
        <v>0</v>
      </c>
      <c r="BC86" s="11" t="n">
        <v>0</v>
      </c>
      <c r="BD86" s="11" t="n">
        <v>0</v>
      </c>
      <c r="BE86" s="11" t="n">
        <v>0</v>
      </c>
      <c r="BF86" s="11" t="n">
        <v>0</v>
      </c>
      <c r="BG86" s="11" t="n">
        <v>0</v>
      </c>
      <c r="BH86" s="11" t="n">
        <v>0</v>
      </c>
      <c r="BI86" s="11" t="n">
        <v>0</v>
      </c>
      <c r="BJ86" s="11" t="n">
        <v>0</v>
      </c>
      <c r="BK86" s="11" t="n">
        <v>0</v>
      </c>
      <c r="BL86" s="11" t="n">
        <v>0</v>
      </c>
      <c r="BM86" s="11" t="n">
        <v>0</v>
      </c>
      <c r="BN86" s="11" t="n">
        <v>0</v>
      </c>
      <c r="BO86" s="11" t="n">
        <v>0</v>
      </c>
      <c r="BP86" s="11" t="n">
        <v>0</v>
      </c>
      <c r="BQ86" s="11" t="n">
        <v>0</v>
      </c>
    </row>
    <row r="87" customFormat="false" ht="13.8" hidden="false" customHeight="false" outlineLevel="0" collapsed="false">
      <c r="A87" s="11" t="s">
        <v>159</v>
      </c>
      <c r="B87" s="11" t="s">
        <v>151</v>
      </c>
      <c r="C87" s="11" t="s">
        <v>139</v>
      </c>
      <c r="D87" s="12"/>
      <c r="E87" s="11" t="n">
        <v>0</v>
      </c>
      <c r="F87" s="11" t="n">
        <v>0</v>
      </c>
      <c r="G87" s="11" t="n">
        <v>0</v>
      </c>
      <c r="H87" s="11" t="n">
        <v>0</v>
      </c>
      <c r="I87" s="11" t="n">
        <v>0</v>
      </c>
      <c r="J87" s="11" t="n">
        <v>0</v>
      </c>
      <c r="K87" s="11" t="n">
        <v>0</v>
      </c>
      <c r="L87" s="11" t="n">
        <v>0</v>
      </c>
      <c r="M87" s="11" t="n">
        <v>0</v>
      </c>
      <c r="N87" s="11" t="n">
        <v>0</v>
      </c>
      <c r="O87" s="11" t="n">
        <v>0</v>
      </c>
      <c r="P87" s="11" t="n">
        <v>0</v>
      </c>
      <c r="Q87" s="11" t="n">
        <v>0</v>
      </c>
      <c r="R87" s="11" t="n">
        <v>0</v>
      </c>
      <c r="S87" s="11" t="n">
        <v>0</v>
      </c>
      <c r="T87" s="11" t="n">
        <v>0</v>
      </c>
      <c r="U87" s="11" t="n">
        <v>0</v>
      </c>
      <c r="V87" s="11" t="n">
        <v>0</v>
      </c>
      <c r="W87" s="11" t="n">
        <v>0</v>
      </c>
      <c r="X87" s="11" t="n">
        <v>0</v>
      </c>
      <c r="Y87" s="11" t="n">
        <v>0</v>
      </c>
      <c r="Z87" s="11" t="n">
        <v>0</v>
      </c>
      <c r="AA87" s="11" t="n">
        <v>0</v>
      </c>
      <c r="AB87" s="11" t="n">
        <v>0</v>
      </c>
      <c r="AC87" s="11" t="n">
        <v>0</v>
      </c>
      <c r="AD87" s="11" t="n">
        <v>0</v>
      </c>
      <c r="AE87" s="11" t="n">
        <v>0</v>
      </c>
      <c r="AF87" s="11" t="n">
        <v>0</v>
      </c>
      <c r="AG87" s="11" t="n">
        <v>0</v>
      </c>
      <c r="AH87" s="11" t="n">
        <v>0</v>
      </c>
      <c r="AI87" s="11" t="n">
        <v>0</v>
      </c>
      <c r="AJ87" s="11" t="n">
        <v>0</v>
      </c>
      <c r="AK87" s="11" t="n">
        <v>0</v>
      </c>
      <c r="AL87" s="11" t="n">
        <v>0</v>
      </c>
      <c r="AM87" s="11" t="n">
        <v>0</v>
      </c>
      <c r="AN87" s="11" t="n">
        <v>0</v>
      </c>
      <c r="AO87" s="11" t="n">
        <v>0</v>
      </c>
      <c r="AP87" s="11" t="n">
        <v>0</v>
      </c>
      <c r="AQ87" s="11" t="n">
        <v>0</v>
      </c>
      <c r="AR87" s="11" t="n">
        <v>0</v>
      </c>
      <c r="AS87" s="11" t="n">
        <v>0</v>
      </c>
      <c r="AT87" s="11" t="n">
        <v>0</v>
      </c>
      <c r="AU87" s="11" t="n">
        <v>0</v>
      </c>
      <c r="AV87" s="11" t="n">
        <v>0</v>
      </c>
      <c r="AW87" s="11" t="n">
        <v>0</v>
      </c>
      <c r="AX87" s="11" t="n">
        <v>0</v>
      </c>
      <c r="AY87" s="11" t="n">
        <v>0</v>
      </c>
      <c r="AZ87" s="11" t="n">
        <v>0</v>
      </c>
      <c r="BA87" s="11" t="n">
        <v>0</v>
      </c>
      <c r="BB87" s="11" t="n">
        <v>0</v>
      </c>
      <c r="BC87" s="11" t="n">
        <v>0</v>
      </c>
      <c r="BD87" s="11" t="n">
        <v>0</v>
      </c>
      <c r="BE87" s="11" t="n">
        <v>0</v>
      </c>
      <c r="BF87" s="11" t="n">
        <v>0</v>
      </c>
      <c r="BG87" s="11" t="n">
        <v>0</v>
      </c>
      <c r="BH87" s="11" t="n">
        <v>0</v>
      </c>
      <c r="BI87" s="11" t="n">
        <v>0</v>
      </c>
      <c r="BJ87" s="11" t="n">
        <v>0</v>
      </c>
      <c r="BK87" s="11" t="n">
        <v>0</v>
      </c>
      <c r="BL87" s="11" t="n">
        <v>0</v>
      </c>
      <c r="BM87" s="11" t="n">
        <v>0</v>
      </c>
      <c r="BN87" s="11" t="n">
        <v>0</v>
      </c>
      <c r="BO87" s="11" t="n">
        <v>0</v>
      </c>
      <c r="BP87" s="11" t="n">
        <v>0</v>
      </c>
      <c r="BQ87" s="11" t="n">
        <v>0</v>
      </c>
    </row>
    <row r="88" customFormat="false" ht="35" hidden="false" customHeight="true" outlineLevel="0" collapsed="false">
      <c r="A88" s="11" t="s">
        <v>153</v>
      </c>
      <c r="B88" s="11" t="s">
        <v>152</v>
      </c>
      <c r="C88" s="11" t="s">
        <v>139</v>
      </c>
      <c r="D88" s="12"/>
      <c r="E88" s="11" t="n">
        <v>1.2171152542919</v>
      </c>
      <c r="F88" s="11" t="n">
        <v>1.21421910570822</v>
      </c>
      <c r="G88" s="11" t="n">
        <v>1.18037621669783</v>
      </c>
      <c r="H88" s="11" t="n">
        <v>1.11091093884843</v>
      </c>
      <c r="I88" s="11" t="n">
        <v>0.959012371368234</v>
      </c>
      <c r="J88" s="11" t="n">
        <v>0.947786132828256</v>
      </c>
      <c r="K88" s="11" t="n">
        <v>0.933856573830761</v>
      </c>
      <c r="L88" s="11" t="n">
        <v>0.496903648701169</v>
      </c>
      <c r="M88" s="11" t="n">
        <v>0.494656640933734</v>
      </c>
      <c r="N88" s="11" t="n">
        <v>0.438914374620869</v>
      </c>
      <c r="O88" s="11" t="n">
        <v>0.457436594627261</v>
      </c>
      <c r="P88" s="11" t="n">
        <v>0.397510119586746</v>
      </c>
      <c r="Q88" s="11" t="n">
        <v>0.378431987836773</v>
      </c>
      <c r="R88" s="11" t="n">
        <v>0.391628496617248</v>
      </c>
      <c r="S88" s="11" t="n">
        <v>0.407129663830246</v>
      </c>
      <c r="T88" s="11" t="n">
        <v>0.387507548220722</v>
      </c>
      <c r="U88" s="11" t="n">
        <v>0.266259748196817</v>
      </c>
      <c r="V88" s="11" t="n">
        <v>0.32868492346893</v>
      </c>
      <c r="W88" s="11" t="n">
        <v>0.274002158104949</v>
      </c>
      <c r="X88" s="11" t="n">
        <v>0.237120428376574</v>
      </c>
      <c r="Y88" s="11" t="n">
        <v>0.226093820069534</v>
      </c>
      <c r="Z88" s="11" t="n">
        <v>0.212276199763021</v>
      </c>
      <c r="AA88" s="11" t="n">
        <v>0.206573659038048</v>
      </c>
      <c r="AB88" s="11" t="n">
        <v>0.207739645426354</v>
      </c>
      <c r="AC88" s="11" t="n">
        <v>0.212194465380171</v>
      </c>
      <c r="AD88" s="11" t="n">
        <v>0.204949884678858</v>
      </c>
      <c r="AE88" s="11" t="n">
        <v>0.217390639962629</v>
      </c>
      <c r="AF88" s="11" t="n">
        <v>0.20587873223792</v>
      </c>
      <c r="AG88" s="11" t="n">
        <v>0.200010242137246</v>
      </c>
      <c r="AH88" s="11" t="n">
        <v>0.193157137533831</v>
      </c>
      <c r="AI88" s="11" t="n">
        <v>0.199947323071381</v>
      </c>
      <c r="AJ88" s="11" t="n">
        <v>0.237346610959795</v>
      </c>
      <c r="AK88" s="11" t="n">
        <v>0.254086978544492</v>
      </c>
      <c r="AL88" s="11" t="n">
        <v>0.24854162750045</v>
      </c>
      <c r="AM88" s="11" t="n">
        <v>0.24854162750045</v>
      </c>
      <c r="AN88" s="11" t="n">
        <v>0.24854162750045</v>
      </c>
      <c r="AO88" s="11" t="n">
        <v>0.24854162750045</v>
      </c>
      <c r="AP88" s="11" t="n">
        <v>0.24854162750045</v>
      </c>
      <c r="AQ88" s="11" t="n">
        <v>0.24854162750045</v>
      </c>
      <c r="AR88" s="11" t="n">
        <v>0.24854162750045</v>
      </c>
      <c r="AS88" s="11" t="n">
        <v>0.24854162750045</v>
      </c>
      <c r="AT88" s="11" t="n">
        <v>0.24854162750045</v>
      </c>
      <c r="AU88" s="11" t="n">
        <v>0.24854162750045</v>
      </c>
      <c r="AV88" s="11" t="n">
        <v>0.24854162750045</v>
      </c>
      <c r="AW88" s="11" t="n">
        <v>0.24854162750045</v>
      </c>
      <c r="AX88" s="11" t="n">
        <v>0.24854162750045</v>
      </c>
      <c r="AY88" s="11" t="n">
        <v>0.24854162750045</v>
      </c>
      <c r="AZ88" s="11" t="n">
        <v>0.24854162750045</v>
      </c>
      <c r="BA88" s="11" t="n">
        <v>0.24854162750045</v>
      </c>
      <c r="BB88" s="11" t="n">
        <v>0.24854162750045</v>
      </c>
      <c r="BC88" s="11" t="n">
        <v>0.24854162750045</v>
      </c>
      <c r="BD88" s="11" t="n">
        <v>0.24854162750045</v>
      </c>
      <c r="BE88" s="11" t="n">
        <v>0.24854162750045</v>
      </c>
      <c r="BF88" s="11" t="n">
        <v>0.24854162750045</v>
      </c>
      <c r="BG88" s="11" t="n">
        <v>0.24854162750045</v>
      </c>
      <c r="BH88" s="11" t="n">
        <v>0.24854162750045</v>
      </c>
      <c r="BI88" s="11" t="n">
        <v>0.24854162750045</v>
      </c>
      <c r="BJ88" s="11" t="n">
        <v>0.24854162750045</v>
      </c>
      <c r="BK88" s="11" t="n">
        <v>0.24854162750045</v>
      </c>
      <c r="BL88" s="11" t="n">
        <v>0.24854162750045</v>
      </c>
      <c r="BM88" s="11" t="n">
        <v>0.24854162750045</v>
      </c>
      <c r="BN88" s="11" t="n">
        <v>1.24270813750225</v>
      </c>
      <c r="BO88" s="11" t="n">
        <v>1.24270813750225</v>
      </c>
      <c r="BP88" s="11" t="n">
        <v>1.24270813750225</v>
      </c>
      <c r="BQ88" s="11" t="n">
        <v>1.24270813750225</v>
      </c>
    </row>
    <row r="89" customFormat="false" ht="13.8" hidden="false" customHeight="false" outlineLevel="0" collapsed="false">
      <c r="A89" s="11" t="s">
        <v>154</v>
      </c>
      <c r="B89" s="11" t="s">
        <v>152</v>
      </c>
      <c r="C89" s="11" t="s">
        <v>139</v>
      </c>
      <c r="D89" s="12"/>
      <c r="E89" s="11" t="n">
        <v>68.2256688682614</v>
      </c>
      <c r="F89" s="11" t="n">
        <v>69.0883841693019</v>
      </c>
      <c r="G89" s="11" t="n">
        <v>69.2372733019063</v>
      </c>
      <c r="H89" s="11" t="n">
        <v>69.9705719197539</v>
      </c>
      <c r="I89" s="11" t="n">
        <v>70.5944070681153</v>
      </c>
      <c r="J89" s="11" t="n">
        <v>71.3071282276679</v>
      </c>
      <c r="K89" s="11" t="n">
        <v>71.9347879491463</v>
      </c>
      <c r="L89" s="11" t="n">
        <v>71.9514814809652</v>
      </c>
      <c r="M89" s="11" t="n">
        <v>71.5191781076477</v>
      </c>
      <c r="N89" s="11" t="n">
        <v>69.0547451829986</v>
      </c>
      <c r="O89" s="11" t="n">
        <v>66.2015561636543</v>
      </c>
      <c r="P89" s="11" t="n">
        <v>63.9679458940774</v>
      </c>
      <c r="Q89" s="11" t="n">
        <v>63.5051095507772</v>
      </c>
      <c r="R89" s="11" t="n">
        <v>60.0355416788261</v>
      </c>
      <c r="S89" s="11" t="n">
        <v>55.3493232069101</v>
      </c>
      <c r="T89" s="11" t="n">
        <v>53.0688653467591</v>
      </c>
      <c r="U89" s="11" t="n">
        <v>51.1856745211803</v>
      </c>
      <c r="V89" s="11" t="n">
        <v>47.4940669502153</v>
      </c>
      <c r="W89" s="11" t="n">
        <v>42.7118305919109</v>
      </c>
      <c r="X89" s="11" t="n">
        <v>38.617718557357</v>
      </c>
      <c r="Y89" s="11" t="n">
        <v>33.3046095190075</v>
      </c>
      <c r="Z89" s="11" t="n">
        <v>30.952087263435</v>
      </c>
      <c r="AA89" s="11" t="n">
        <v>29.2246753386805</v>
      </c>
      <c r="AB89" s="11" t="n">
        <v>25.8115452725411</v>
      </c>
      <c r="AC89" s="11" t="n">
        <v>23.2896131299308</v>
      </c>
      <c r="AD89" s="11" t="n">
        <v>22.4598930752036</v>
      </c>
      <c r="AE89" s="11" t="n">
        <v>21.2504093971715</v>
      </c>
      <c r="AF89" s="11" t="n">
        <v>21.5202362651174</v>
      </c>
      <c r="AG89" s="11" t="n">
        <v>21.3909566422107</v>
      </c>
      <c r="AH89" s="11" t="n">
        <v>20.9216203724665</v>
      </c>
      <c r="AI89" s="11" t="n">
        <v>19.3965300882595</v>
      </c>
      <c r="AJ89" s="11" t="n">
        <v>18.2511641416297</v>
      </c>
      <c r="AK89" s="11" t="n">
        <v>18.1536780644356</v>
      </c>
      <c r="AL89" s="11" t="n">
        <v>17.988183405264</v>
      </c>
      <c r="AM89" s="11" t="n">
        <v>17.1816180724298</v>
      </c>
      <c r="AN89" s="11" t="n">
        <v>16.8140785613448</v>
      </c>
      <c r="AO89" s="11" t="n">
        <v>16.399189995188</v>
      </c>
      <c r="AP89" s="11" t="n">
        <v>17.17396041986</v>
      </c>
      <c r="AQ89" s="11" t="n">
        <v>16.6536288445047</v>
      </c>
      <c r="AR89" s="11" t="n">
        <v>16.1822809289009</v>
      </c>
      <c r="AS89" s="11" t="n">
        <v>15.7471939483172</v>
      </c>
      <c r="AT89" s="11" t="n">
        <v>15.334701623586</v>
      </c>
      <c r="AU89" s="11" t="n">
        <v>14.9698918356175</v>
      </c>
      <c r="AV89" s="11" t="n">
        <v>14.6471134487404</v>
      </c>
      <c r="AW89" s="11" t="n">
        <v>14.3533465521866</v>
      </c>
      <c r="AX89" s="11" t="n">
        <v>14.0726523601764</v>
      </c>
      <c r="AY89" s="11" t="n">
        <v>13.832376875666</v>
      </c>
      <c r="AZ89" s="11" t="n">
        <v>13.5995011942622</v>
      </c>
      <c r="BA89" s="11" t="n">
        <v>13.3571276576164</v>
      </c>
      <c r="BB89" s="11" t="n">
        <v>13.1481515730327</v>
      </c>
      <c r="BC89" s="11" t="n">
        <v>12.952769359872</v>
      </c>
      <c r="BD89" s="11" t="n">
        <v>12.8292602359582</v>
      </c>
      <c r="BE89" s="11" t="n">
        <v>12.7297194792048</v>
      </c>
      <c r="BF89" s="11" t="n">
        <v>12.6728271145282</v>
      </c>
      <c r="BG89" s="11" t="n">
        <v>12.6441883204397</v>
      </c>
      <c r="BH89" s="11" t="n">
        <v>12.5449812282772</v>
      </c>
      <c r="BI89" s="11" t="n">
        <v>12.47301341672</v>
      </c>
      <c r="BJ89" s="11" t="n">
        <v>12.4223151476705</v>
      </c>
      <c r="BK89" s="11" t="n">
        <v>12.3642760063744</v>
      </c>
      <c r="BL89" s="11" t="n">
        <v>12.308744932334</v>
      </c>
      <c r="BM89" s="11" t="n">
        <v>12.191877790024</v>
      </c>
      <c r="BN89" s="11" t="n">
        <v>85.5570304540865</v>
      </c>
      <c r="BO89" s="11" t="n">
        <v>78.8876971809263</v>
      </c>
      <c r="BP89" s="11" t="n">
        <v>70.5049904310317</v>
      </c>
      <c r="BQ89" s="11" t="n">
        <v>65.0170283056841</v>
      </c>
    </row>
    <row r="90" customFormat="false" ht="13.8" hidden="false" customHeight="false" outlineLevel="0" collapsed="false">
      <c r="A90" s="11" t="s">
        <v>155</v>
      </c>
      <c r="B90" s="11" t="s">
        <v>152</v>
      </c>
      <c r="C90" s="11" t="s">
        <v>139</v>
      </c>
      <c r="D90" s="12"/>
      <c r="E90" s="11" t="n">
        <v>0.842354088170844</v>
      </c>
      <c r="F90" s="11" t="n">
        <v>0.849248324182803</v>
      </c>
      <c r="G90" s="11" t="n">
        <v>0.892364591981189</v>
      </c>
      <c r="H90" s="11" t="n">
        <v>0.904938172599069</v>
      </c>
      <c r="I90" s="11" t="n">
        <v>0.914476012595916</v>
      </c>
      <c r="J90" s="11" t="n">
        <v>0.933558892577924</v>
      </c>
      <c r="K90" s="11" t="n">
        <v>0.968449580784931</v>
      </c>
      <c r="L90" s="11" t="n">
        <v>0.979693267455711</v>
      </c>
      <c r="M90" s="11" t="n">
        <v>1.0095688224873</v>
      </c>
      <c r="N90" s="11" t="n">
        <v>1.00828280641086</v>
      </c>
      <c r="O90" s="11" t="n">
        <v>1.05077516721331</v>
      </c>
      <c r="P90" s="11" t="n">
        <v>1.0340281309492</v>
      </c>
      <c r="Q90" s="11" t="n">
        <v>1.0567889516018</v>
      </c>
      <c r="R90" s="11" t="n">
        <v>1.06560517200155</v>
      </c>
      <c r="S90" s="11" t="n">
        <v>1.07377780234759</v>
      </c>
      <c r="T90" s="11" t="n">
        <v>1.1160779884587</v>
      </c>
      <c r="U90" s="11" t="n">
        <v>1.14158192857006</v>
      </c>
      <c r="V90" s="11" t="n">
        <v>1.17154726358938</v>
      </c>
      <c r="W90" s="11" t="n">
        <v>1.13691285847006</v>
      </c>
      <c r="X90" s="11" t="n">
        <v>1.19618431081029</v>
      </c>
      <c r="Y90" s="11" t="n">
        <v>1.27595919558916</v>
      </c>
      <c r="Z90" s="11" t="n">
        <v>1.34307499003411</v>
      </c>
      <c r="AA90" s="11" t="n">
        <v>1.34743802899753</v>
      </c>
      <c r="AB90" s="11" t="n">
        <v>1.37361135194866</v>
      </c>
      <c r="AC90" s="11" t="n">
        <v>1.43933755607437</v>
      </c>
      <c r="AD90" s="11" t="n">
        <v>1.45247833612504</v>
      </c>
      <c r="AE90" s="11" t="n">
        <v>1.47422695076045</v>
      </c>
      <c r="AF90" s="11" t="n">
        <v>1.55539398786911</v>
      </c>
      <c r="AG90" s="11" t="n">
        <v>1.53435770969638</v>
      </c>
      <c r="AH90" s="11" t="n">
        <v>1.52788475384583</v>
      </c>
      <c r="AI90" s="11" t="n">
        <v>1.53714033097277</v>
      </c>
      <c r="AJ90" s="11" t="n">
        <v>1.58160805331149</v>
      </c>
      <c r="AK90" s="11" t="n">
        <v>1.56597678761892</v>
      </c>
      <c r="AL90" s="11" t="n">
        <v>1.62990624844047</v>
      </c>
      <c r="AM90" s="11" t="n">
        <v>1.60875416726514</v>
      </c>
      <c r="AN90" s="11" t="n">
        <v>1.6181776658748</v>
      </c>
      <c r="AO90" s="11" t="n">
        <v>1.62648707567167</v>
      </c>
      <c r="AP90" s="11" t="n">
        <v>1.633699495238</v>
      </c>
      <c r="AQ90" s="11" t="n">
        <v>1.63970403807932</v>
      </c>
      <c r="AR90" s="11" t="n">
        <v>1.64556346619979</v>
      </c>
      <c r="AS90" s="11" t="n">
        <v>1.6316612815858</v>
      </c>
      <c r="AT90" s="11" t="n">
        <v>1.61770020238059</v>
      </c>
      <c r="AU90" s="11" t="n">
        <v>1.60363785607016</v>
      </c>
      <c r="AV90" s="11" t="n">
        <v>1.58944968177026</v>
      </c>
      <c r="AW90" s="11" t="n">
        <v>1.5751182379096</v>
      </c>
      <c r="AX90" s="11" t="n">
        <v>1.56066244441383</v>
      </c>
      <c r="AY90" s="11" t="n">
        <v>1.54615839704708</v>
      </c>
      <c r="AZ90" s="11" t="n">
        <v>1.53153037123655</v>
      </c>
      <c r="BA90" s="11" t="n">
        <v>1.51679260877023</v>
      </c>
      <c r="BB90" s="11" t="n">
        <v>1.50192030474466</v>
      </c>
      <c r="BC90" s="11" t="n">
        <v>1.48699427552411</v>
      </c>
      <c r="BD90" s="11" t="n">
        <v>1.49163613731572</v>
      </c>
      <c r="BE90" s="11" t="n">
        <v>1.49623080525574</v>
      </c>
      <c r="BF90" s="11" t="n">
        <v>1.50077605615321</v>
      </c>
      <c r="BG90" s="11" t="n">
        <v>1.50526652209627</v>
      </c>
      <c r="BH90" s="11" t="n">
        <v>1.50969833265921</v>
      </c>
      <c r="BI90" s="11" t="n">
        <v>1.51406811273867</v>
      </c>
      <c r="BJ90" s="11" t="n">
        <v>1.5183717845647</v>
      </c>
      <c r="BK90" s="11" t="n">
        <v>1.52259332503561</v>
      </c>
      <c r="BL90" s="11" t="n">
        <v>1.52671409620856</v>
      </c>
      <c r="BM90" s="11" t="n">
        <v>1.53072738243417</v>
      </c>
      <c r="BN90" s="11" t="n">
        <v>8.11702465249008</v>
      </c>
      <c r="BO90" s="11" t="n">
        <v>8.13826684431564</v>
      </c>
      <c r="BP90" s="11" t="n">
        <v>7.80291913237732</v>
      </c>
      <c r="BQ90" s="11" t="n">
        <v>7.49357413161047</v>
      </c>
    </row>
    <row r="91" customFormat="false" ht="13.8" hidden="false" customHeight="false" outlineLevel="0" collapsed="false">
      <c r="A91" s="11" t="s">
        <v>156</v>
      </c>
      <c r="B91" s="11" t="s">
        <v>152</v>
      </c>
      <c r="C91" s="11" t="s">
        <v>139</v>
      </c>
      <c r="D91" s="12"/>
      <c r="E91" s="11" t="n">
        <v>0</v>
      </c>
      <c r="F91" s="11" t="n">
        <v>0</v>
      </c>
      <c r="G91" s="11" t="n">
        <v>0</v>
      </c>
      <c r="H91" s="11" t="n">
        <v>0</v>
      </c>
      <c r="I91" s="11" t="n">
        <v>0</v>
      </c>
      <c r="J91" s="11" t="n">
        <v>0</v>
      </c>
      <c r="K91" s="11" t="n">
        <v>0</v>
      </c>
      <c r="L91" s="11" t="n">
        <v>0</v>
      </c>
      <c r="M91" s="11" t="n">
        <v>0</v>
      </c>
      <c r="N91" s="11" t="n">
        <v>0</v>
      </c>
      <c r="O91" s="11" t="n">
        <v>0</v>
      </c>
      <c r="P91" s="11" t="n">
        <v>0</v>
      </c>
      <c r="Q91" s="11" t="n">
        <v>0</v>
      </c>
      <c r="R91" s="11" t="n">
        <v>0</v>
      </c>
      <c r="S91" s="11" t="n">
        <v>0</v>
      </c>
      <c r="T91" s="11" t="n">
        <v>0</v>
      </c>
      <c r="U91" s="11" t="n">
        <v>0</v>
      </c>
      <c r="V91" s="11" t="n">
        <v>0</v>
      </c>
      <c r="W91" s="11" t="n">
        <v>0</v>
      </c>
      <c r="X91" s="11" t="n">
        <v>0</v>
      </c>
      <c r="Y91" s="11" t="n">
        <v>0</v>
      </c>
      <c r="Z91" s="11" t="n">
        <v>0</v>
      </c>
      <c r="AA91" s="11" t="n">
        <v>0</v>
      </c>
      <c r="AB91" s="11" t="n">
        <v>0</v>
      </c>
      <c r="AC91" s="11" t="n">
        <v>0</v>
      </c>
      <c r="AD91" s="11" t="n">
        <v>0</v>
      </c>
      <c r="AE91" s="11" t="n">
        <v>0</v>
      </c>
      <c r="AF91" s="11" t="n">
        <v>0</v>
      </c>
      <c r="AG91" s="11" t="n">
        <v>0</v>
      </c>
      <c r="AH91" s="11" t="n">
        <v>0</v>
      </c>
      <c r="AI91" s="11" t="n">
        <v>0</v>
      </c>
      <c r="AJ91" s="11" t="n">
        <v>0</v>
      </c>
      <c r="AK91" s="11" t="n">
        <v>0</v>
      </c>
      <c r="AL91" s="11" t="n">
        <v>0</v>
      </c>
      <c r="AM91" s="11" t="n">
        <v>0</v>
      </c>
      <c r="AN91" s="11" t="n">
        <v>0</v>
      </c>
      <c r="AO91" s="11" t="n">
        <v>0</v>
      </c>
      <c r="AP91" s="11" t="n">
        <v>0</v>
      </c>
      <c r="AQ91" s="11" t="n">
        <v>0</v>
      </c>
      <c r="AR91" s="11" t="n">
        <v>0</v>
      </c>
      <c r="AS91" s="11" t="n">
        <v>0</v>
      </c>
      <c r="AT91" s="11" t="n">
        <v>0</v>
      </c>
      <c r="AU91" s="11" t="n">
        <v>0</v>
      </c>
      <c r="AV91" s="11" t="n">
        <v>0</v>
      </c>
      <c r="AW91" s="11" t="n">
        <v>0</v>
      </c>
      <c r="AX91" s="11" t="n">
        <v>0</v>
      </c>
      <c r="AY91" s="11" t="n">
        <v>0</v>
      </c>
      <c r="AZ91" s="11" t="n">
        <v>0</v>
      </c>
      <c r="BA91" s="11" t="n">
        <v>0</v>
      </c>
      <c r="BB91" s="11" t="n">
        <v>0</v>
      </c>
      <c r="BC91" s="11" t="n">
        <v>0</v>
      </c>
      <c r="BD91" s="11" t="n">
        <v>0</v>
      </c>
      <c r="BE91" s="11" t="n">
        <v>0</v>
      </c>
      <c r="BF91" s="11" t="n">
        <v>0</v>
      </c>
      <c r="BG91" s="11" t="n">
        <v>0</v>
      </c>
      <c r="BH91" s="11" t="n">
        <v>0</v>
      </c>
      <c r="BI91" s="11" t="n">
        <v>0</v>
      </c>
      <c r="BJ91" s="11" t="n">
        <v>0</v>
      </c>
      <c r="BK91" s="11" t="n">
        <v>0</v>
      </c>
      <c r="BL91" s="11" t="n">
        <v>0</v>
      </c>
      <c r="BM91" s="11" t="n">
        <v>0</v>
      </c>
      <c r="BN91" s="11" t="n">
        <v>0</v>
      </c>
      <c r="BO91" s="11" t="n">
        <v>0</v>
      </c>
      <c r="BP91" s="11" t="n">
        <v>0</v>
      </c>
      <c r="BQ91" s="11" t="n">
        <v>0</v>
      </c>
    </row>
    <row r="92" customFormat="false" ht="13.8" hidden="false" customHeight="false" outlineLevel="0" collapsed="false">
      <c r="A92" s="11" t="s">
        <v>157</v>
      </c>
      <c r="B92" s="11" t="s">
        <v>152</v>
      </c>
      <c r="C92" s="11" t="s">
        <v>139</v>
      </c>
      <c r="D92" s="12"/>
      <c r="E92" s="11" t="n">
        <v>0</v>
      </c>
      <c r="F92" s="11" t="n">
        <v>0</v>
      </c>
      <c r="G92" s="11" t="n">
        <v>0</v>
      </c>
      <c r="H92" s="11" t="n">
        <v>0</v>
      </c>
      <c r="I92" s="11" t="n">
        <v>0</v>
      </c>
      <c r="J92" s="11" t="n">
        <v>0</v>
      </c>
      <c r="K92" s="11" t="n">
        <v>0</v>
      </c>
      <c r="L92" s="11" t="n">
        <v>0</v>
      </c>
      <c r="M92" s="11" t="n">
        <v>0</v>
      </c>
      <c r="N92" s="11" t="n">
        <v>0</v>
      </c>
      <c r="O92" s="11" t="n">
        <v>0</v>
      </c>
      <c r="P92" s="11" t="n">
        <v>0</v>
      </c>
      <c r="Q92" s="11" t="n">
        <v>0</v>
      </c>
      <c r="R92" s="11" t="n">
        <v>0</v>
      </c>
      <c r="S92" s="11" t="n">
        <v>0</v>
      </c>
      <c r="T92" s="11" t="n">
        <v>0</v>
      </c>
      <c r="U92" s="11" t="n">
        <v>0</v>
      </c>
      <c r="V92" s="11" t="n">
        <v>0</v>
      </c>
      <c r="W92" s="11" t="n">
        <v>0</v>
      </c>
      <c r="X92" s="11" t="n">
        <v>0</v>
      </c>
      <c r="Y92" s="11" t="n">
        <v>0</v>
      </c>
      <c r="Z92" s="11" t="n">
        <v>0</v>
      </c>
      <c r="AA92" s="11" t="n">
        <v>0</v>
      </c>
      <c r="AB92" s="11" t="n">
        <v>0</v>
      </c>
      <c r="AC92" s="11" t="n">
        <v>0</v>
      </c>
      <c r="AD92" s="11" t="n">
        <v>0</v>
      </c>
      <c r="AE92" s="11" t="n">
        <v>0</v>
      </c>
      <c r="AF92" s="11" t="n">
        <v>0</v>
      </c>
      <c r="AG92" s="11" t="n">
        <v>0</v>
      </c>
      <c r="AH92" s="11" t="n">
        <v>0</v>
      </c>
      <c r="AI92" s="11" t="n">
        <v>0</v>
      </c>
      <c r="AJ92" s="11" t="n">
        <v>0</v>
      </c>
      <c r="AK92" s="11" t="n">
        <v>0</v>
      </c>
      <c r="AL92" s="11" t="n">
        <v>0</v>
      </c>
      <c r="AM92" s="11" t="n">
        <v>0</v>
      </c>
      <c r="AN92" s="11" t="n">
        <v>0</v>
      </c>
      <c r="AO92" s="11" t="n">
        <v>0</v>
      </c>
      <c r="AP92" s="11" t="n">
        <v>0</v>
      </c>
      <c r="AQ92" s="11" t="n">
        <v>0</v>
      </c>
      <c r="AR92" s="11" t="n">
        <v>0</v>
      </c>
      <c r="AS92" s="11" t="n">
        <v>0</v>
      </c>
      <c r="AT92" s="11" t="n">
        <v>0</v>
      </c>
      <c r="AU92" s="11" t="n">
        <v>0</v>
      </c>
      <c r="AV92" s="11" t="n">
        <v>0</v>
      </c>
      <c r="AW92" s="11" t="n">
        <v>0</v>
      </c>
      <c r="AX92" s="11" t="n">
        <v>0</v>
      </c>
      <c r="AY92" s="11" t="n">
        <v>0</v>
      </c>
      <c r="AZ92" s="11" t="n">
        <v>0</v>
      </c>
      <c r="BA92" s="11" t="n">
        <v>0</v>
      </c>
      <c r="BB92" s="11" t="n">
        <v>0</v>
      </c>
      <c r="BC92" s="11" t="n">
        <v>0</v>
      </c>
      <c r="BD92" s="11" t="n">
        <v>0</v>
      </c>
      <c r="BE92" s="11" t="n">
        <v>0</v>
      </c>
      <c r="BF92" s="11" t="n">
        <v>0</v>
      </c>
      <c r="BG92" s="11" t="n">
        <v>0</v>
      </c>
      <c r="BH92" s="11" t="n">
        <v>0</v>
      </c>
      <c r="BI92" s="11" t="n">
        <v>0</v>
      </c>
      <c r="BJ92" s="11" t="n">
        <v>0</v>
      </c>
      <c r="BK92" s="11" t="n">
        <v>0</v>
      </c>
      <c r="BL92" s="11" t="n">
        <v>0</v>
      </c>
      <c r="BM92" s="11" t="n">
        <v>0</v>
      </c>
      <c r="BN92" s="11" t="n">
        <v>0</v>
      </c>
      <c r="BO92" s="11" t="n">
        <v>0</v>
      </c>
      <c r="BP92" s="11" t="n">
        <v>0</v>
      </c>
      <c r="BQ92" s="11" t="n">
        <v>0</v>
      </c>
    </row>
    <row r="93" customFormat="false" ht="13.8" hidden="false" customHeight="false" outlineLevel="0" collapsed="false">
      <c r="A93" s="11" t="s">
        <v>158</v>
      </c>
      <c r="B93" s="11" t="s">
        <v>152</v>
      </c>
      <c r="C93" s="11" t="s">
        <v>139</v>
      </c>
      <c r="D93" s="12"/>
      <c r="E93" s="11" t="n">
        <v>0</v>
      </c>
      <c r="F93" s="11" t="n">
        <v>0</v>
      </c>
      <c r="G93" s="11" t="n">
        <v>0</v>
      </c>
      <c r="H93" s="11" t="n">
        <v>0</v>
      </c>
      <c r="I93" s="11" t="n">
        <v>0</v>
      </c>
      <c r="J93" s="11" t="n">
        <v>0</v>
      </c>
      <c r="K93" s="11" t="n">
        <v>0</v>
      </c>
      <c r="L93" s="11" t="n">
        <v>0</v>
      </c>
      <c r="M93" s="11" t="n">
        <v>0</v>
      </c>
      <c r="N93" s="11" t="n">
        <v>0</v>
      </c>
      <c r="O93" s="11" t="n">
        <v>0</v>
      </c>
      <c r="P93" s="11" t="n">
        <v>0</v>
      </c>
      <c r="Q93" s="11" t="n">
        <v>0</v>
      </c>
      <c r="R93" s="11" t="n">
        <v>0</v>
      </c>
      <c r="S93" s="11" t="n">
        <v>0</v>
      </c>
      <c r="T93" s="11" t="n">
        <v>0</v>
      </c>
      <c r="U93" s="11" t="n">
        <v>0</v>
      </c>
      <c r="V93" s="11" t="n">
        <v>0</v>
      </c>
      <c r="W93" s="11" t="n">
        <v>0</v>
      </c>
      <c r="X93" s="11" t="n">
        <v>0</v>
      </c>
      <c r="Y93" s="11" t="n">
        <v>0</v>
      </c>
      <c r="Z93" s="11" t="n">
        <v>0</v>
      </c>
      <c r="AA93" s="11" t="n">
        <v>0</v>
      </c>
      <c r="AB93" s="11" t="n">
        <v>0</v>
      </c>
      <c r="AC93" s="11" t="n">
        <v>0</v>
      </c>
      <c r="AD93" s="11" t="n">
        <v>0</v>
      </c>
      <c r="AE93" s="11" t="n">
        <v>0</v>
      </c>
      <c r="AF93" s="11" t="n">
        <v>0</v>
      </c>
      <c r="AG93" s="11" t="n">
        <v>0</v>
      </c>
      <c r="AH93" s="11" t="n">
        <v>0</v>
      </c>
      <c r="AI93" s="11" t="n">
        <v>0</v>
      </c>
      <c r="AJ93" s="11" t="n">
        <v>0</v>
      </c>
      <c r="AK93" s="11" t="n">
        <v>0</v>
      </c>
      <c r="AL93" s="11" t="n">
        <v>0</v>
      </c>
      <c r="AM93" s="11" t="n">
        <v>0</v>
      </c>
      <c r="AN93" s="11" t="n">
        <v>0</v>
      </c>
      <c r="AO93" s="11" t="n">
        <v>0</v>
      </c>
      <c r="AP93" s="11" t="n">
        <v>0</v>
      </c>
      <c r="AQ93" s="11" t="n">
        <v>0</v>
      </c>
      <c r="AR93" s="11" t="n">
        <v>0</v>
      </c>
      <c r="AS93" s="11" t="n">
        <v>0</v>
      </c>
      <c r="AT93" s="11" t="n">
        <v>0</v>
      </c>
      <c r="AU93" s="11" t="n">
        <v>0</v>
      </c>
      <c r="AV93" s="11" t="n">
        <v>0</v>
      </c>
      <c r="AW93" s="11" t="n">
        <v>0</v>
      </c>
      <c r="AX93" s="11" t="n">
        <v>0</v>
      </c>
      <c r="AY93" s="11" t="n">
        <v>0</v>
      </c>
      <c r="AZ93" s="11" t="n">
        <v>0</v>
      </c>
      <c r="BA93" s="11" t="n">
        <v>0</v>
      </c>
      <c r="BB93" s="11" t="n">
        <v>0</v>
      </c>
      <c r="BC93" s="11" t="n">
        <v>0</v>
      </c>
      <c r="BD93" s="11" t="n">
        <v>0</v>
      </c>
      <c r="BE93" s="11" t="n">
        <v>0</v>
      </c>
      <c r="BF93" s="11" t="n">
        <v>0</v>
      </c>
      <c r="BG93" s="11" t="n">
        <v>0</v>
      </c>
      <c r="BH93" s="11" t="n">
        <v>0</v>
      </c>
      <c r="BI93" s="11" t="n">
        <v>0</v>
      </c>
      <c r="BJ93" s="11" t="n">
        <v>0</v>
      </c>
      <c r="BK93" s="11" t="n">
        <v>0</v>
      </c>
      <c r="BL93" s="11" t="n">
        <v>0</v>
      </c>
      <c r="BM93" s="11" t="n">
        <v>0</v>
      </c>
      <c r="BN93" s="11" t="n">
        <v>0</v>
      </c>
      <c r="BO93" s="11" t="n">
        <v>0</v>
      </c>
      <c r="BP93" s="11" t="n">
        <v>0</v>
      </c>
      <c r="BQ93" s="11" t="n">
        <v>0</v>
      </c>
    </row>
    <row r="94" customFormat="false" ht="13.8" hidden="false" customHeight="false" outlineLevel="0" collapsed="false">
      <c r="A94" s="11" t="s">
        <v>159</v>
      </c>
      <c r="B94" s="11" t="s">
        <v>152</v>
      </c>
      <c r="C94" s="11" t="s">
        <v>139</v>
      </c>
      <c r="D94" s="12"/>
      <c r="E94" s="11" t="n">
        <v>0</v>
      </c>
      <c r="F94" s="11" t="n">
        <v>0</v>
      </c>
      <c r="G94" s="11" t="n">
        <v>0</v>
      </c>
      <c r="H94" s="11" t="n">
        <v>0</v>
      </c>
      <c r="I94" s="11" t="n">
        <v>0</v>
      </c>
      <c r="J94" s="11" t="n">
        <v>0</v>
      </c>
      <c r="K94" s="11" t="n">
        <v>0</v>
      </c>
      <c r="L94" s="11" t="n">
        <v>0</v>
      </c>
      <c r="M94" s="11" t="n">
        <v>0</v>
      </c>
      <c r="N94" s="11" t="n">
        <v>0</v>
      </c>
      <c r="O94" s="11" t="n">
        <v>0</v>
      </c>
      <c r="P94" s="11" t="n">
        <v>0</v>
      </c>
      <c r="Q94" s="11" t="n">
        <v>0</v>
      </c>
      <c r="R94" s="11" t="n">
        <v>0</v>
      </c>
      <c r="S94" s="11" t="n">
        <v>0</v>
      </c>
      <c r="T94" s="11" t="n">
        <v>0</v>
      </c>
      <c r="U94" s="11" t="n">
        <v>0</v>
      </c>
      <c r="V94" s="11" t="n">
        <v>0</v>
      </c>
      <c r="W94" s="11" t="n">
        <v>0</v>
      </c>
      <c r="X94" s="11" t="n">
        <v>0</v>
      </c>
      <c r="Y94" s="11" t="n">
        <v>0</v>
      </c>
      <c r="Z94" s="11" t="n">
        <v>0</v>
      </c>
      <c r="AA94" s="11" t="n">
        <v>0</v>
      </c>
      <c r="AB94" s="11" t="n">
        <v>0</v>
      </c>
      <c r="AC94" s="11" t="n">
        <v>0</v>
      </c>
      <c r="AD94" s="11" t="n">
        <v>0</v>
      </c>
      <c r="AE94" s="11" t="n">
        <v>0</v>
      </c>
      <c r="AF94" s="11" t="n">
        <v>0</v>
      </c>
      <c r="AG94" s="11" t="n">
        <v>0</v>
      </c>
      <c r="AH94" s="11" t="n">
        <v>0</v>
      </c>
      <c r="AI94" s="11" t="n">
        <v>0</v>
      </c>
      <c r="AJ94" s="11" t="n">
        <v>0</v>
      </c>
      <c r="AK94" s="11" t="n">
        <v>0</v>
      </c>
      <c r="AL94" s="11" t="n">
        <v>0</v>
      </c>
      <c r="AM94" s="11" t="n">
        <v>0</v>
      </c>
      <c r="AN94" s="11" t="n">
        <v>0</v>
      </c>
      <c r="AO94" s="11" t="n">
        <v>0</v>
      </c>
      <c r="AP94" s="11" t="n">
        <v>0</v>
      </c>
      <c r="AQ94" s="11" t="n">
        <v>0</v>
      </c>
      <c r="AR94" s="11" t="n">
        <v>0</v>
      </c>
      <c r="AS94" s="11" t="n">
        <v>0</v>
      </c>
      <c r="AT94" s="11" t="n">
        <v>0</v>
      </c>
      <c r="AU94" s="11" t="n">
        <v>0</v>
      </c>
      <c r="AV94" s="11" t="n">
        <v>0</v>
      </c>
      <c r="AW94" s="11" t="n">
        <v>0</v>
      </c>
      <c r="AX94" s="11" t="n">
        <v>0</v>
      </c>
      <c r="AY94" s="11" t="n">
        <v>0</v>
      </c>
      <c r="AZ94" s="11" t="n">
        <v>0</v>
      </c>
      <c r="BA94" s="11" t="n">
        <v>0</v>
      </c>
      <c r="BB94" s="11" t="n">
        <v>0</v>
      </c>
      <c r="BC94" s="11" t="n">
        <v>0</v>
      </c>
      <c r="BD94" s="11" t="n">
        <v>0</v>
      </c>
      <c r="BE94" s="11" t="n">
        <v>0</v>
      </c>
      <c r="BF94" s="11" t="n">
        <v>0</v>
      </c>
      <c r="BG94" s="11" t="n">
        <v>0</v>
      </c>
      <c r="BH94" s="11" t="n">
        <v>0</v>
      </c>
      <c r="BI94" s="11" t="n">
        <v>0</v>
      </c>
      <c r="BJ94" s="11" t="n">
        <v>0</v>
      </c>
      <c r="BK94" s="11" t="n">
        <v>0</v>
      </c>
      <c r="BL94" s="11" t="n">
        <v>0</v>
      </c>
      <c r="BM94" s="11" t="n">
        <v>0</v>
      </c>
      <c r="BN94" s="11" t="n">
        <v>0</v>
      </c>
      <c r="BO94" s="11" t="n">
        <v>0</v>
      </c>
      <c r="BP94" s="11" t="n">
        <v>0</v>
      </c>
      <c r="BQ94" s="11" t="n">
        <v>0</v>
      </c>
    </row>
    <row r="95" customFormat="false" ht="13.8"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2026-01-27T11:31:58Z</dcterms:created>
  <dc:creator>EEP_Team</dc:creator>
  <dc:description/>
  <dc:language>zh-CN</dc:language>
  <cp:lastModifiedBy>Lockhart, Hannah (Energy Security)</cp:lastModifiedBy>
  <dcterms:modified xsi:type="dcterms:W3CDTF">2026-01-30T12:23:07Z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0x010100E283D4AA16744246A16C92235D91DBE5</vt:lpwstr>
  </property>
  <property fmtid="{D5CDD505-2E9C-101B-9397-08002B2CF9AE}" pid="3" name="_dlc_DocIdItemGuid">
    <vt:lpwstr>2c7e11c0-b676-4c6d-87f2-f8ecf9dbbc52</vt:lpwstr>
  </property>
</Properties>
</file>