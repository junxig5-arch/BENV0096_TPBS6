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Table_of_contents" sheetId="2" state="visible" r:id="rId4"/>
    <sheet name="Notes" sheetId="3" state="visible" r:id="rId5"/>
    <sheet name="Reference" sheetId="4" state="visible" r:id="rId6"/>
    <sheet name="FFP_Low" sheetId="5" state="visible" r:id="rId7"/>
    <sheet name="FFP_High" sheetId="6" state="visible" r:id="rId8"/>
    <sheet name="GDP_Low" sheetId="7" state="visible" r:id="rId9"/>
    <sheet name="GDP_High" sheetId="8" state="visible" r:id="rId10"/>
    <sheet name="Existing" sheetId="9"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<sst xmlns="http://schemas.openxmlformats.org/spreadsheetml/2006/main" count="1466" uniqueCount="166">
  <si>
    <t xml:space="preserve">EEP - Annex A (NZS taxonomy) - Greenhouse gas emissions by source (Net Zero Strategy Taxonomy)</t>
  </si>
  <si>
    <t xml:space="preserve">The 'Table_of_contents' sheet contains details of the scenarios published.</t>
  </si>
  <si>
    <t xml:space="preserve">The 'Notes' sheet contains details of key assumptions. Some cells in tables may refer to notes which can also be found on this sheet. Note markers are presented in square brackets, for example: [note 1].</t>
  </si>
  <si>
    <t xml:space="preserve">Publication details</t>
  </si>
  <si>
    <t xml:space="preserve">EEP 2024-2050</t>
  </si>
  <si>
    <t xml:space="preserve">Version details</t>
  </si>
  <si>
    <t xml:space="preserve">This data was published: February 2026</t>
  </si>
  <si>
    <t xml:space="preserve">Collection</t>
  </si>
  <si>
    <t xml:space="preserve">From</t>
  </si>
  <si>
    <t xml:space="preserve">Contact details</t>
  </si>
  <si>
    <t xml:space="preserve">Table of contents</t>
  </si>
  <si>
    <t xml:space="preserve">This worksheet contains one table.</t>
  </si>
  <si>
    <t xml:space="preserve">scenario</t>
  </si>
  <si>
    <t xml:space="preserve">Scenario name</t>
  </si>
  <si>
    <t xml:space="preserve">Scenario Description</t>
  </si>
  <si>
    <t xml:space="preserve">Fossil fuel price assumptions</t>
  </si>
  <si>
    <t xml:space="preserve">Economic assumptions</t>
  </si>
  <si>
    <t xml:space="preserve">Policy assumptions</t>
  </si>
  <si>
    <t xml:space="preserve">GWPs</t>
  </si>
  <si>
    <t xml:space="preserve">Reference</t>
  </si>
  <si>
    <t xml:space="preserve">Central</t>
  </si>
  <si>
    <t xml:space="preserve">Existing &amp; planned</t>
  </si>
  <si>
    <t xml:space="preserve">AR5 without feedback</t>
  </si>
  <si>
    <t xml:space="preserve">Fossil Fuel Prices - Low</t>
  </si>
  <si>
    <t xml:space="preserve">Reference assumptions with lower fossil fuel prices</t>
  </si>
  <si>
    <t xml:space="preserve">Low</t>
  </si>
  <si>
    <t xml:space="preserve">Fossil Fuel Prices - High</t>
  </si>
  <si>
    <t xml:space="preserve">Reference assumptions with higher fossil fuel prices</t>
  </si>
  <si>
    <t xml:space="preserve">High</t>
  </si>
  <si>
    <t xml:space="preserve">Economic Growth - Low</t>
  </si>
  <si>
    <t xml:space="preserve">Reference assumptions with lower economic growth</t>
  </si>
  <si>
    <t xml:space="preserve">Economic Growth - High</t>
  </si>
  <si>
    <t xml:space="preserve">Reference assumptions with higher economic growth</t>
  </si>
  <si>
    <t xml:space="preserve">With Existing Measures</t>
  </si>
  <si>
    <t xml:space="preserve">Reference assumptions, but excluding planned policies</t>
  </si>
  <si>
    <t xml:space="preserve">Existing</t>
  </si>
  <si>
    <t xml:space="preserve">Notes</t>
  </si>
  <si>
    <t xml:space="preserve">This worksheet contains one table. Some cells in the 'Link' column are empty where no relevant link is required.</t>
  </si>
  <si>
    <t xml:space="preserve">note</t>
  </si>
  <si>
    <t xml:space="preserve">Note text</t>
  </si>
  <si>
    <t xml:space="preserve">Link</t>
  </si>
  <si>
    <t xml:space="preserve">[note 1]</t>
  </si>
  <si>
    <t xml:space="preserve">Annex M contains details of how we vary the growth and price inputs for the different scenarios in this annex.</t>
  </si>
  <si>
    <t xml:space="preserve">[note 2]</t>
  </si>
  <si>
    <t xml:space="preserve">This reflects a set of assumptions for growth and prices. This does not reflect a desired or preferred outcome for Government.</t>
  </si>
  <si>
    <t xml:space="preserve">[note 3]</t>
  </si>
  <si>
    <t xml:space="preserve">Results are presented under AR5 without feedback 100-year global warming potentials (GWPs).</t>
  </si>
  <si>
    <t xml:space="preserve">[note 4]</t>
  </si>
  <si>
    <t xml:space="preserve">Emissions are broken down by sector on a source-basis. For example, emissions from electricity generation are attributed to energy supply/power sector (where the emissions occur), rather than the sector in which the electricity is used.</t>
  </si>
  <si>
    <t xml:space="preserve">[note 5]</t>
  </si>
  <si>
    <t xml:space="preserve">Historical figures are aligned with the UK 1990-2023 GHG Inventory, and projections figures are also aligned with this.</t>
  </si>
  <si>
    <t xml:space="preserve">[note 6]</t>
  </si>
  <si>
    <t xml:space="preserve">We express emissions of non-CO2 greenhouse gases as the amount of carbon dioxide that would give rise to an equivalent global warming effect.</t>
  </si>
  <si>
    <t xml:space="preserve">[note 7]</t>
  </si>
  <si>
    <t xml:space="preserve">Performance against carbon budget targets is assessed by comparing the budget level against a metric called the UK “Net Carbon Account” (NCA). See 'Box 1' of the main EEP report for further information on how the NCA is calculated.</t>
  </si>
  <si>
    <t xml:space="preserve">[note 8]</t>
  </si>
  <si>
    <t xml:space="preserve">Figures refer to UK territorial emissions, meaning emissions within the UK’s borders. Crown Dependencies and UK Overseas Territories emissions are not included. International Aviation and Shipping (IAS) emissions are shown as a separate category. The sixth carbon budget is the first that includes international aviation and shipping (IAS) emissions. Since EEP 2021-2040, we have included this in key annex totals.</t>
  </si>
  <si>
    <t xml:space="preserve">[note 9]</t>
  </si>
  <si>
    <t xml:space="preserve">The International Aviation &amp; Shipping category does include transport between the UK, the Crown Dependencies (Isle of Man &amp; Channel Islands) and the UK Overseas Territories.</t>
  </si>
  <si>
    <t xml:space="preserve">[note 10]</t>
  </si>
  <si>
    <t xml:space="preserve">UK Carbon Budgets cover the following 5 year periods: 
CB1 2008-2012
CB2 2013-2017
CB3 2018-2022
CB4 2023-2027
CB5 2028-2032
CB6 2033-2037
CB7 2038-2042</t>
  </si>
  <si>
    <t xml:space="preserve">[note 11]</t>
  </si>
  <si>
    <t xml:space="preserve">For only the years 2023 to 2032 (the end of the fifth Carbon Budget period), the row 'Net Carbon Account territorial (exc. IAS)'  shows the Net Carbon Account calculation. As detailed in Box 1 of the report, the NCA for those years is defined as all UK territorial emissions and credits/debits from international trading systems (currently assumed to be zero).</t>
  </si>
  <si>
    <t xml:space="preserve">[note 12]</t>
  </si>
  <si>
    <t xml:space="preserve">For only 2033 to 2037 (the sixth Carbon Budget period), the row 'Net Carbon Account territorial (inc. IAS)' shows the Net Carbon Account calculation. For CB6, IAS emissions are included in accordance with the basis on which the budget was set.</t>
  </si>
  <si>
    <t xml:space="preserve">[note 13]</t>
  </si>
  <si>
    <t xml:space="preserve">National Zero Strategy (NZS) sectoral definitions are detailed in the Technical Annex of the Net Zero Strategy.</t>
  </si>
  <si>
    <t xml:space="preserve">Reference - Annex A (NZS taxonomy) - Greenhouse gas emissions by source (Net Zero Strategy Taxonomy)</t>
  </si>
  <si>
    <t xml:space="preserve">This worksheet contains one table. Some cells refer to notes which can be found on the notes worksheet. Note markers are presented in square brackets, for example: [note 1].</t>
  </si>
  <si>
    <t xml:space="preserve">GHG</t>
  </si>
  <si>
    <t xml:space="preserve">coverage</t>
  </si>
  <si>
    <t xml:space="preserve">units</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</si>
  <si>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</si>
  <si>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</si>
  <si>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</si>
  <si>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</si>
  <si>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</si>
  <si>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</si>
  <si>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</si>
  <si>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</si>
  <si>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</si>
  <si>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</si>
  <si>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</si>
  <si>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</si>
  <si>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</si>
  <si>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</si>
  <si>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</si>
  <si>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</si>
  <si>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</si>
  <si>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</si>
  <si>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</si>
  <si>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</si>
  <si>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</si>
  <si>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</si>
  <si>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</si>
  <si>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</si>
  <si>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</si>
  <si>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</si>
  <si>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</si>
  <si>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</si>
  <si>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</si>
  <si>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</si>
  <si>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</si>
  <si>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</si>
  <si>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</si>
  <si>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</si>
  <si>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</si>
  <si>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</si>
  <si>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</si>
  <si>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</si>
  <si>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</si>
  <si>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</si>
  <si>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</si>
  <si>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</si>
  <si>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</si>
  <si>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</si>
  <si>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</si>
  <si>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</si>
  <si>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</si>
  <si>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</si>
  <si>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</si>
  <si>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</si>
  <si>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</si>
  <si>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</si>
  <si>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</si>
  <si>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</si>
  <si>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</si>
  <si>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</si>
  <si>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</si>
  <si>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</si>
  <si>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</si>
  <si>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</si>
  <si>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</si>
  <si>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CB4</t>
  </si>
  <si>
    <t xml:space="preserve">CB5</t>
  </si>
  <si>
    <t xml:space="preserve">CB6</t>
  </si>
  <si>
    <t xml:space="preserve">CB7</t>
  </si>
  <si>
    <t xml:space="preserve">GHG (All)</t>
  </si>
  <si>
    <t xml:space="preserve">Total emissions (exc. IAS)</t>
  </si>
  <si>
    <t xml:space="preserve">MtCO2e</t>
  </si>
  <si>
    <t xml:space="preserve">Total emissions (inc. IAS)</t>
  </si>
  <si>
    <t xml:space="preserve">Net Carbon Account Applied</t>
  </si>
  <si>
    <t xml:space="preserve">Net Carbon Account territorial (exc. IAS)</t>
  </si>
  <si>
    <t xml:space="preserve">Net Carbon Account territorial (inc. IAS)</t>
  </si>
  <si>
    <t xml:space="preserve">Agriculture</t>
  </si>
  <si>
    <t xml:space="preserve">Buildings</t>
  </si>
  <si>
    <t xml:space="preserve">Domestic Transport</t>
  </si>
  <si>
    <t xml:space="preserve">F-Gases</t>
  </si>
  <si>
    <t xml:space="preserve">Fuel Supply</t>
  </si>
  <si>
    <t xml:space="preserve">Industry</t>
  </si>
  <si>
    <t xml:space="preserve">LULUCF</t>
  </si>
  <si>
    <t xml:space="preserve">Power</t>
  </si>
  <si>
    <t xml:space="preserve">Waste</t>
  </si>
  <si>
    <t xml:space="preserve">IAS</t>
  </si>
  <si>
    <t xml:space="preserve">CO2</t>
  </si>
  <si>
    <t xml:space="preserve">CH4</t>
  </si>
  <si>
    <t xml:space="preserve">N2O</t>
  </si>
  <si>
    <t xml:space="preserve">HFCs</t>
  </si>
  <si>
    <t xml:space="preserve">PFCs</t>
  </si>
  <si>
    <t xml:space="preserve">SF6</t>
  </si>
  <si>
    <t xml:space="preserve">NF3</t>
  </si>
  <si>
    <t xml:space="preserve">Fossil Fuel Prices - Low - Annex A (NZS taxonomy) - Greenhouse gas emissions by source (Net Zero Strategy Taxonomy)</t>
  </si>
  <si>
    <t xml:space="preserve">Fossil Fuel Prices - High - Annex A (NZS taxonomy) - Greenhouse gas emissions by source (Net Zero Strategy Taxonomy)</t>
  </si>
  <si>
    <t xml:space="preserve">Economic Growth - Low - Annex A (NZS taxonomy) - Greenhouse gas emissions by source (Net Zero Strategy Taxonomy)</t>
  </si>
  <si>
    <t xml:space="preserve">Economic Growth - High - Annex A (NZS taxonomy) - Greenhouse gas emissions by source (Net Zero Strategy Taxonomy)</t>
  </si>
  <si>
    <t xml:space="preserve">With Existing Measures - Annex A (NZS taxonomy) - Greenhouse gas emissions by source (Net Zero Strategy Taxonomy)</t>
  </si>
</sst>
</file>

<file path=xl/styles.xml><?xml version="1.0" encoding="utf-8"?>
<styleSheet xmlns="http://schemas.openxmlformats.org/spreadsheetml/2006/main">
  <numFmts count="2">
    <numFmt numFmtId="164" formatCode="General"/>
    <numFmt numFmtId="165" formatCode="#,##0;\-#,##0;\-"/>
  </numFmts>
  <fonts count="8">
    <font>
      <sz val="11"/>
      <color rgb="FF000000"/>
      <name val="Calibri"/>
      <family val="0"/>
      <charset val="134"/>
    </font>
    <font>
      <sz val="10"/>
      <name val="Arial"/>
      <family val="0"/>
      <charset val="134"/>
    </font>
    <font>
      <sz val="10"/>
      <name val="Arial"/>
      <family val="0"/>
      <charset val="134"/>
    </font>
    <font>
      <sz val="10"/>
      <name val="Arial"/>
      <family val="0"/>
      <charset val="134"/>
    </font>
    <font>
      <b val="true"/>
      <sz val="16"/>
      <color rgb="FF000000"/>
      <name val="Calibri"/>
      <family val="0"/>
      <charset val="134"/>
    </font>
    <font>
      <b val="true"/>
      <sz val="14"/>
      <color rgb="FF000000"/>
      <name val="Calibri"/>
      <family val="0"/>
      <charset val="134"/>
    </font>
    <font>
      <u val="single"/>
      <sz val="11"/>
      <color rgb="FF0000FF"/>
      <name val="Calibri"/>
      <family val="0"/>
      <charset val="134"/>
    </font>
    <font>
      <b val="true"/>
      <sz val="11"/>
      <color rgb="FF000000"/>
      <name val="Calibri"/>
      <family val="0"/>
      <charset val="134"/>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标题 1" xfId="20"/>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annexa_nzs_existing" displayName="annexa_nzs_existing"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2.xml><?xml version="1.0" encoding="utf-8"?>
<table xmlns="http://schemas.openxmlformats.org/spreadsheetml/2006/main" id="2" name="annexa_nzs_ffp_high" displayName="annexa_nzs_ffp_high"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3.xml><?xml version="1.0" encoding="utf-8"?>
<table xmlns="http://schemas.openxmlformats.org/spreadsheetml/2006/main" id="3" name="annexa_nzs_ffp_low" displayName="annexa_nzs_ffp_low"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4.xml><?xml version="1.0" encoding="utf-8"?>
<table xmlns="http://schemas.openxmlformats.org/spreadsheetml/2006/main" id="4" name="annexa_nzs_gdp_high" displayName="annexa_nzs_gdp_high"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5.xml><?xml version="1.0" encoding="utf-8"?>
<table xmlns="http://schemas.openxmlformats.org/spreadsheetml/2006/main" id="5" name="annexa_nzs_gdp_low" displayName="annexa_nzs_gdp_low"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6.xml><?xml version="1.0" encoding="utf-8"?>
<table xmlns="http://schemas.openxmlformats.org/spreadsheetml/2006/main" id="6" name="annexa_nzs_notes" displayName="annexa_nzs_notes" ref="A3:C16" headerRowCount="1" totalsRowCount="0" totalsRowShown="0">
  <tableColumns count="3">
    <tableColumn id="1" name="note"/>
    <tableColumn id="2" name="Note text"/>
    <tableColumn id="3" name="Link"/>
  </tableColumns>
</table>
</file>

<file path=xl/tables/table7.xml><?xml version="1.0" encoding="utf-8"?>
<table xmlns="http://schemas.openxmlformats.org/spreadsheetml/2006/main" id="7" name="annexa_nzs_reference" displayName="annexa_nzs_reference" ref="A3:BQ56"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8.xml><?xml version="1.0" encoding="utf-8"?>
<table xmlns="http://schemas.openxmlformats.org/spreadsheetml/2006/main" id="8" name="annexa_nzs_table_of_contents" displayName="annexa_nzs_table_of_contents" ref="A3:G9" headerRowCount="1" totalsRowCount="0" totalsRowShown="0">
  <tableColumns count="7">
    <tableColumn id="1" name="scenario"/>
    <tableColumn id="2" name="Scenario name"/>
    <tableColumn id="3" name="Scenario Description"/>
    <tableColumn id="4" name="Fossil fuel price assumptions"/>
    <tableColumn id="5" name="Economic assumptions"/>
    <tableColumn id="6" name="Policy assumptions"/>
    <tableColumn id="7" name="GWP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8.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29.55"/>
    <col collapsed="false" customWidth="false" hidden="false" outlineLevel="0" max="16384" min="2" style="1" width="10.81"/>
  </cols>
  <sheetData>
    <row r="1" customFormat="false" ht="19.7" hidden="false" customHeight="false" outlineLevel="0" collapsed="false">
      <c r="A1" s="2" t="s">
        <v>0</v>
      </c>
    </row>
    <row r="2" customFormat="false" ht="13.8" hidden="false" customHeight="false" outlineLevel="0" collapsed="false">
      <c r="A2" s="3" t="s">
        <v>1</v>
      </c>
    </row>
    <row r="3" customFormat="false" ht="23.3" hidden="false" customHeight="false" outlineLevel="0" collapsed="false">
      <c r="A3" s="3" t="s">
        <v>2</v>
      </c>
    </row>
    <row r="4" customFormat="false" ht="17.35" hidden="false" customHeight="false" outlineLevel="0" collapsed="false">
      <c r="A4" s="4" t="s">
        <v>3</v>
      </c>
    </row>
    <row r="5" customFormat="false" ht="13.8" hidden="false" customHeight="false" outlineLevel="0" collapsed="false">
      <c r="A5" s="3" t="s">
        <v>4</v>
      </c>
    </row>
    <row r="6" customFormat="false" ht="17.35" hidden="false" customHeight="false" outlineLevel="0" collapsed="false">
      <c r="A6" s="4" t="s">
        <v>5</v>
      </c>
    </row>
    <row r="7" customFormat="false" ht="13.8" hidden="false" customHeight="false" outlineLevel="0" collapsed="false">
      <c r="A7" s="3" t="s">
        <v>6</v>
      </c>
    </row>
    <row r="8" customFormat="false" ht="17.35" hidden="false" customHeight="false" outlineLevel="0" collapsed="false">
      <c r="A8" s="4" t="s">
        <v>7</v>
      </c>
    </row>
    <row r="9" customFormat="false" ht="13.8" hidden="false" customHeight="false" outlineLevel="0" collapsed="false">
      <c r="A9" s="5" t="str">
        <f aca="false">HYPERLINK("https://www.gov.uk/government/collections/energy-and-emissions-projections","Energy and emissions projections")</f>
        <v>Energy and emissions projections</v>
      </c>
    </row>
    <row r="10" customFormat="false" ht="17.35" hidden="false" customHeight="false" outlineLevel="0" collapsed="false">
      <c r="A10" s="4" t="s">
        <v>8</v>
      </c>
    </row>
    <row r="11" customFormat="false" ht="13.8" hidden="false" customHeight="false" outlineLevel="0" collapsed="false">
      <c r="A11" s="5" t="str">
        <f aca="false">HYPERLINK("https://www.gov.uk/government/organisations/department-for-energy-security-and-net-zero","Department for Energy Security &amp; Net Zero")</f>
        <v>Department for Energy Security &amp; Net Zero</v>
      </c>
    </row>
    <row r="12" customFormat="false" ht="17.35" hidden="false" customHeight="false" outlineLevel="0" collapsed="false">
      <c r="A12" s="4" t="s">
        <v>9</v>
      </c>
    </row>
    <row r="13" customFormat="false" ht="13.8" hidden="false" customHeight="false" outlineLevel="0" collapsed="false">
      <c r="A13" s="5" t="str">
        <f aca="false">HYPERLINK("mailto:emissionsprojections@energysecurity.gov.uk","emissionsprojections@energysecurity.gov.uk")</f>
        <v>emissionsprojections@energysecurity.gov.uk</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8.56"/>
    <col collapsed="false" customWidth="true" hidden="false" outlineLevel="0" max="2" min="2" style="1" width="28.47"/>
    <col collapsed="false" customWidth="true" hidden="false" outlineLevel="0" max="3" min="3" style="1" width="45.31"/>
    <col collapsed="false" customWidth="true" hidden="false" outlineLevel="0" max="7" min="4" style="1" width="24.51"/>
    <col collapsed="false" customWidth="false" hidden="false" outlineLevel="0" max="16384" min="8" style="1" width="10.81"/>
  </cols>
  <sheetData>
    <row r="1" customFormat="false" ht="19.7" hidden="false" customHeight="false" outlineLevel="0" collapsed="false">
      <c r="A1" s="6" t="s">
        <v>10</v>
      </c>
    </row>
    <row r="2" customFormat="false" ht="13.8" hidden="false" customHeight="false" outlineLevel="0" collapsed="false">
      <c r="A2" s="1" t="s">
        <v>11</v>
      </c>
    </row>
    <row r="3" customFormat="false" ht="13.8" hidden="false" customHeight="false" outlineLevel="0" collapsed="false">
      <c r="A3" s="7" t="s">
        <v>12</v>
      </c>
      <c r="B3" s="7" t="s">
        <v>13</v>
      </c>
      <c r="C3" s="7" t="s">
        <v>14</v>
      </c>
      <c r="D3" s="7" t="s">
        <v>15</v>
      </c>
      <c r="E3" s="7" t="s">
        <v>16</v>
      </c>
      <c r="F3" s="7" t="s">
        <v>17</v>
      </c>
      <c r="G3" s="7" t="s">
        <v>18</v>
      </c>
    </row>
    <row r="4" customFormat="false" ht="13.8" hidden="false" customHeight="false" outlineLevel="0" collapsed="false">
      <c r="A4" s="8" t="str">
        <f aca="false">HYPERLINK("#Reference!A1","Reference")</f>
        <v>Reference</v>
      </c>
      <c r="B4" s="9" t="s">
        <v>19</v>
      </c>
      <c r="C4" s="9" t="s">
        <v>19</v>
      </c>
      <c r="D4" s="9" t="s">
        <v>20</v>
      </c>
      <c r="E4" s="9" t="s">
        <v>20</v>
      </c>
      <c r="F4" s="9" t="s">
        <v>21</v>
      </c>
      <c r="G4" s="9" t="s">
        <v>22</v>
      </c>
    </row>
    <row r="5" customFormat="false" ht="13.8" hidden="false" customHeight="false" outlineLevel="0" collapsed="false">
      <c r="A5" s="8" t="str">
        <f aca="false">HYPERLINK("#FFP_Low!A1","FFP_Low")</f>
        <v>FFP_Low</v>
      </c>
      <c r="B5" s="9" t="s">
        <v>23</v>
      </c>
      <c r="C5" s="9" t="s">
        <v>24</v>
      </c>
      <c r="D5" s="9" t="s">
        <v>25</v>
      </c>
      <c r="E5" s="9" t="s">
        <v>20</v>
      </c>
      <c r="F5" s="9" t="s">
        <v>21</v>
      </c>
      <c r="G5" s="9" t="s">
        <v>22</v>
      </c>
    </row>
    <row r="6" customFormat="false" ht="13.8" hidden="false" customHeight="false" outlineLevel="0" collapsed="false">
      <c r="A6" s="8" t="str">
        <f aca="false">HYPERLINK("#FFP_High!A1","FFP_High")</f>
        <v>FFP_High</v>
      </c>
      <c r="B6" s="9" t="s">
        <v>26</v>
      </c>
      <c r="C6" s="9" t="s">
        <v>27</v>
      </c>
      <c r="D6" s="9" t="s">
        <v>28</v>
      </c>
      <c r="E6" s="9" t="s">
        <v>20</v>
      </c>
      <c r="F6" s="9" t="s">
        <v>21</v>
      </c>
      <c r="G6" s="9" t="s">
        <v>22</v>
      </c>
    </row>
    <row r="7" customFormat="false" ht="13.8" hidden="false" customHeight="false" outlineLevel="0" collapsed="false">
      <c r="A7" s="8" t="str">
        <f aca="false">HYPERLINK("#GDP_Low!A1","GDP_Low")</f>
        <v>GDP_Low</v>
      </c>
      <c r="B7" s="9" t="s">
        <v>29</v>
      </c>
      <c r="C7" s="9" t="s">
        <v>30</v>
      </c>
      <c r="D7" s="9" t="s">
        <v>20</v>
      </c>
      <c r="E7" s="9" t="s">
        <v>25</v>
      </c>
      <c r="F7" s="9" t="s">
        <v>21</v>
      </c>
      <c r="G7" s="9" t="s">
        <v>22</v>
      </c>
    </row>
    <row r="8" customFormat="false" ht="13.8" hidden="false" customHeight="false" outlineLevel="0" collapsed="false">
      <c r="A8" s="8" t="str">
        <f aca="false">HYPERLINK("#GDP_High!A1","GDP_High")</f>
        <v>GDP_High</v>
      </c>
      <c r="B8" s="9" t="s">
        <v>31</v>
      </c>
      <c r="C8" s="9" t="s">
        <v>32</v>
      </c>
      <c r="D8" s="9" t="s">
        <v>20</v>
      </c>
      <c r="E8" s="9" t="s">
        <v>28</v>
      </c>
      <c r="F8" s="9" t="s">
        <v>21</v>
      </c>
      <c r="G8" s="9" t="s">
        <v>22</v>
      </c>
    </row>
    <row r="9" customFormat="false" ht="13.8" hidden="false" customHeight="false" outlineLevel="0" collapsed="false">
      <c r="A9" s="8" t="str">
        <f aca="false">HYPERLINK("#Existing!A1","Existing")</f>
        <v>Existing</v>
      </c>
      <c r="B9" s="9" t="s">
        <v>33</v>
      </c>
      <c r="C9" s="9" t="s">
        <v>34</v>
      </c>
      <c r="D9" s="9" t="s">
        <v>20</v>
      </c>
      <c r="E9" s="9" t="s">
        <v>20</v>
      </c>
      <c r="F9" s="9" t="s">
        <v>35</v>
      </c>
      <c r="G9" s="9" t="s">
        <v>22</v>
      </c>
    </row>
    <row r="10" customFormat="false" ht="13.8" hidden="false" customHeight="false" outlineLevel="0" collapsed="false">
      <c r="A10" s="9"/>
      <c r="B10" s="9"/>
      <c r="C10" s="9"/>
      <c r="D10" s="9"/>
      <c r="E10" s="9"/>
      <c r="F10" s="9"/>
      <c r="G10" s="9"/>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4.6"/>
    <col collapsed="false" customWidth="true" hidden="false" outlineLevel="0" max="2" min="2" style="1" width="124.6"/>
    <col collapsed="false" customWidth="true" hidden="false" outlineLevel="0" max="3" min="3" style="1" width="80"/>
    <col collapsed="false" customWidth="false" hidden="false" outlineLevel="0" max="16384" min="4" style="1" width="10.81"/>
  </cols>
  <sheetData>
    <row r="1" customFormat="false" ht="19.7" hidden="false" customHeight="false" outlineLevel="0" collapsed="false">
      <c r="A1" s="6" t="s">
        <v>36</v>
      </c>
    </row>
    <row r="2" customFormat="false" ht="13.8" hidden="false" customHeight="false" outlineLevel="0" collapsed="false">
      <c r="A2" s="1" t="s">
        <v>37</v>
      </c>
    </row>
    <row r="3" customFormat="false" ht="13.8" hidden="false" customHeight="false" outlineLevel="0" collapsed="false">
      <c r="A3" s="7" t="s">
        <v>38</v>
      </c>
      <c r="B3" s="7" t="s">
        <v>39</v>
      </c>
      <c r="C3" s="7" t="s">
        <v>40</v>
      </c>
    </row>
    <row r="4" customFormat="false" ht="13.8" hidden="false" customHeight="false" outlineLevel="0" collapsed="false">
      <c r="A4" s="9" t="s">
        <v>41</v>
      </c>
      <c r="B4" s="9" t="s">
        <v>42</v>
      </c>
      <c r="C4" s="8"/>
    </row>
    <row r="5" customFormat="false" ht="13.8" hidden="false" customHeight="false" outlineLevel="0" collapsed="false">
      <c r="A5" s="9" t="s">
        <v>43</v>
      </c>
      <c r="B5" s="9" t="s">
        <v>44</v>
      </c>
      <c r="C5" s="8"/>
    </row>
    <row r="6" customFormat="false" ht="13.8" hidden="false" customHeight="false" outlineLevel="0" collapsed="false">
      <c r="A6" s="9" t="s">
        <v>45</v>
      </c>
      <c r="B6" s="9" t="s">
        <v>46</v>
      </c>
      <c r="C6" s="8" t="str">
        <f aca="false">HYPERLINK("https://www.ipcc.ch/report/ar5/syr/","AR5 without feedback is defined  in IPCC (2013), Assessment Report 5 WGI Chapter 8 table 8.A.1")</f>
        <v>AR5 without feedback is defined  in IPCC (2013), Assessment Report 5 WGI Chapter 8 table 8.A.1</v>
      </c>
    </row>
    <row r="7" customFormat="false" ht="23.3" hidden="false" customHeight="false" outlineLevel="0" collapsed="false">
      <c r="A7" s="9" t="s">
        <v>47</v>
      </c>
      <c r="B7" s="9" t="s">
        <v>48</v>
      </c>
      <c r="C7" s="8"/>
    </row>
    <row r="8" customFormat="false" ht="13.8" hidden="false" customHeight="false" outlineLevel="0" collapsed="false">
      <c r="A8" s="9" t="s">
        <v>49</v>
      </c>
      <c r="B8" s="9" t="s">
        <v>50</v>
      </c>
      <c r="C8" s="8" t="str">
        <f aca="false">HYPERLINK("https://www.gov.uk/government/statistics/final-uk-greenhouse-gas-emissions-statistics-1990-to-2023","UK GHG emissions National Statistics 1990-2023")</f>
        <v>UK GHG emissions National Statistics 1990-2023</v>
      </c>
    </row>
    <row r="9" customFormat="false" ht="13.8" hidden="false" customHeight="false" outlineLevel="0" collapsed="false">
      <c r="A9" s="9" t="s">
        <v>51</v>
      </c>
      <c r="B9" s="9" t="s">
        <v>52</v>
      </c>
      <c r="C9" s="8"/>
    </row>
    <row r="10" customFormat="false" ht="23.3" hidden="false" customHeight="false" outlineLevel="0" collapsed="false">
      <c r="A10" s="9" t="s">
        <v>53</v>
      </c>
      <c r="B10" s="9" t="s">
        <v>54</v>
      </c>
      <c r="C10" s="8"/>
    </row>
    <row r="11" customFormat="false" ht="34.2" hidden="false" customHeight="false" outlineLevel="0" collapsed="false">
      <c r="A11" s="9" t="s">
        <v>55</v>
      </c>
      <c r="B11" s="9" t="s">
        <v>56</v>
      </c>
      <c r="C11" s="8"/>
    </row>
    <row r="12" customFormat="false" ht="23.3" hidden="false" customHeight="false" outlineLevel="0" collapsed="false">
      <c r="A12" s="9" t="s">
        <v>57</v>
      </c>
      <c r="B12" s="9" t="s">
        <v>58</v>
      </c>
      <c r="C12" s="8"/>
    </row>
    <row r="13" customFormat="false" ht="88.7" hidden="false" customHeight="false" outlineLevel="0" collapsed="false">
      <c r="A13" s="9" t="s">
        <v>59</v>
      </c>
      <c r="B13" s="9" t="s">
        <v>60</v>
      </c>
      <c r="C13" s="8"/>
    </row>
    <row r="14" customFormat="false" ht="34.2" hidden="false" customHeight="false" outlineLevel="0" collapsed="false">
      <c r="A14" s="9" t="s">
        <v>61</v>
      </c>
      <c r="B14" s="9" t="s">
        <v>62</v>
      </c>
      <c r="C14" s="8"/>
    </row>
    <row r="15" customFormat="false" ht="23.3" hidden="false" customHeight="false" outlineLevel="0" collapsed="false">
      <c r="A15" s="9" t="s">
        <v>63</v>
      </c>
      <c r="B15" s="9" t="s">
        <v>64</v>
      </c>
      <c r="C15" s="8"/>
    </row>
    <row r="16" customFormat="false" ht="13.8" hidden="false" customHeight="false" outlineLevel="0" collapsed="false">
      <c r="A16" s="9" t="s">
        <v>65</v>
      </c>
      <c r="B16" s="9" t="s">
        <v>66</v>
      </c>
      <c r="C16" s="8" t="str">
        <f aca="false">HYPERLINK("https://assets.publishing.service.gov.uk/media/6194dfa4d3bf7f0555071b1b/net-zero-strategy-beis.pdf","Net Zero Strategy")</f>
        <v>Net Zero Strategy</v>
      </c>
    </row>
    <row r="17" customFormat="false" ht="13.8" hidden="false" customHeight="false" outlineLevel="0" collapsed="false">
      <c r="A17" s="9"/>
      <c r="B17" s="9"/>
      <c r="C17" s="9"/>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67</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447.51561627128</v>
      </c>
      <c r="AI4" s="11" t="n">
        <v>407.975238765153</v>
      </c>
      <c r="AJ4" s="11" t="n">
        <v>422.475570116601</v>
      </c>
      <c r="AK4" s="11" t="n">
        <v>404.682267986786</v>
      </c>
      <c r="AL4" s="11" t="n">
        <v>384.972556090126</v>
      </c>
      <c r="AM4" s="11" t="n">
        <v>371.759487375243</v>
      </c>
      <c r="AN4" s="11" t="n">
        <v>363.150082905755</v>
      </c>
      <c r="AO4" s="11" t="n">
        <v>355.265423903811</v>
      </c>
      <c r="AP4" s="11" t="n">
        <v>348.907854929247</v>
      </c>
      <c r="AQ4" s="11" t="n">
        <v>341.183234512029</v>
      </c>
      <c r="AR4" s="11" t="n">
        <v>334.358922448123</v>
      </c>
      <c r="AS4" s="11" t="n">
        <v>327.713982125617</v>
      </c>
      <c r="AT4" s="11" t="n">
        <v>320.429867491574</v>
      </c>
      <c r="AU4" s="11" t="n">
        <v>314.955861329269</v>
      </c>
      <c r="AV4" s="11" t="n">
        <v>310.284565982226</v>
      </c>
      <c r="AW4" s="11" t="n">
        <v>306.574221395534</v>
      </c>
      <c r="AX4" s="11" t="n">
        <v>303.407283864246</v>
      </c>
      <c r="AY4" s="11" t="n">
        <v>297.418389970588</v>
      </c>
      <c r="AZ4" s="11" t="n">
        <v>293.90633610234</v>
      </c>
      <c r="BA4" s="11" t="n">
        <v>291.15243711487</v>
      </c>
      <c r="BB4" s="11" t="n">
        <v>288.652384870752</v>
      </c>
      <c r="BC4" s="11" t="n">
        <v>287.413756420828</v>
      </c>
      <c r="BD4" s="11" t="n">
        <v>286.724428652939</v>
      </c>
      <c r="BE4" s="11" t="n">
        <v>286.391613291685</v>
      </c>
      <c r="BF4" s="11" t="n">
        <v>286.393949878503</v>
      </c>
      <c r="BG4" s="11" t="n">
        <v>286.915035053593</v>
      </c>
      <c r="BH4" s="11" t="n">
        <v>286.723568765024</v>
      </c>
      <c r="BI4" s="11" t="n">
        <v>287.564608785598</v>
      </c>
      <c r="BJ4" s="11" t="n">
        <v>288.295980261299</v>
      </c>
      <c r="BK4" s="11" t="n">
        <v>289.231830318914</v>
      </c>
      <c r="BL4" s="11" t="n">
        <v>289.25697485373</v>
      </c>
      <c r="BM4" s="11" t="n">
        <v>290.244906276984</v>
      </c>
      <c r="BN4" s="11" t="n">
        <v>1824.05540520418</v>
      </c>
      <c r="BO4" s="11" t="n">
        <v>1638.64186790661</v>
      </c>
      <c r="BP4" s="11" t="n">
        <v>1511.59079731493</v>
      </c>
      <c r="BQ4" s="11" t="n">
        <v>1440.33462035107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405.820995243062</v>
      </c>
      <c r="AO5" s="11" t="n">
        <v>397.416990031367</v>
      </c>
      <c r="AP5" s="11" t="n">
        <v>390.880239750524</v>
      </c>
      <c r="AQ5" s="11" t="n">
        <v>382.206754528308</v>
      </c>
      <c r="AR5" s="11" t="n">
        <v>375.630214182967</v>
      </c>
      <c r="AS5" s="11" t="n">
        <v>367.969033106317</v>
      </c>
      <c r="AT5" s="11" t="n">
        <v>360.604304620317</v>
      </c>
      <c r="AU5" s="11" t="n">
        <v>354.77074071117</v>
      </c>
      <c r="AV5" s="11" t="n">
        <v>349.397720465852</v>
      </c>
      <c r="AW5" s="11" t="n">
        <v>345.16629831218</v>
      </c>
      <c r="AX5" s="11" t="n">
        <v>341.791617002469</v>
      </c>
      <c r="AY5" s="11" t="n">
        <v>335.196531395245</v>
      </c>
      <c r="AZ5" s="11" t="n">
        <v>330.917241585146</v>
      </c>
      <c r="BA5" s="11" t="n">
        <v>327.987068330021</v>
      </c>
      <c r="BB5" s="11" t="n">
        <v>325.512140100051</v>
      </c>
      <c r="BC5" s="11" t="n">
        <v>323.989470167022</v>
      </c>
      <c r="BD5" s="11" t="n">
        <v>323.776781126681</v>
      </c>
      <c r="BE5" s="11" t="n">
        <v>323.97357566512</v>
      </c>
      <c r="BF5" s="11" t="n">
        <v>323.901389448084</v>
      </c>
      <c r="BG5" s="11" t="n">
        <v>324.118217849626</v>
      </c>
      <c r="BH5" s="11" t="n">
        <v>323.462890301364</v>
      </c>
      <c r="BI5" s="11" t="n">
        <v>323.81264938185</v>
      </c>
      <c r="BJ5" s="11" t="n">
        <v>323.831292585978</v>
      </c>
      <c r="BK5" s="11" t="n">
        <v>324.962883302709</v>
      </c>
      <c r="BL5" s="11" t="n">
        <v>323.86163163947</v>
      </c>
      <c r="BM5" s="11" t="n">
        <v>324.291346256252</v>
      </c>
      <c r="BN5" s="11" t="n">
        <v>2032.6562004937</v>
      </c>
      <c r="BO5" s="11" t="n">
        <v>1841.18104714908</v>
      </c>
      <c r="BP5" s="11" t="n">
        <v>1702.46940876089</v>
      </c>
      <c r="BQ5" s="11" t="n">
        <v>1625.23903538889</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363.150082905754</v>
      </c>
      <c r="AO6" s="11" t="n">
        <v>355.265423903811</v>
      </c>
      <c r="AP6" s="11" t="n">
        <v>348.907854929247</v>
      </c>
      <c r="AQ6" s="11" t="n">
        <v>341.183234512029</v>
      </c>
      <c r="AR6" s="11" t="n">
        <v>334.358922448123</v>
      </c>
      <c r="AS6" s="11" t="n">
        <v>327.713982125617</v>
      </c>
      <c r="AT6" s="11" t="n">
        <v>320.429867491574</v>
      </c>
      <c r="AU6" s="11" t="n">
        <v>314.955861329269</v>
      </c>
      <c r="AV6" s="11" t="n">
        <v>349.397720465852</v>
      </c>
      <c r="AW6" s="11" t="n">
        <v>345.16629831218</v>
      </c>
      <c r="AX6" s="11" t="n">
        <v>341.791617002469</v>
      </c>
      <c r="AY6" s="11" t="n">
        <v>335.196531395245</v>
      </c>
      <c r="AZ6" s="11" t="n">
        <v>330.917241585146</v>
      </c>
      <c r="BA6" s="11"/>
      <c r="BB6" s="11"/>
      <c r="BC6" s="11"/>
      <c r="BD6" s="11"/>
      <c r="BE6" s="11"/>
      <c r="BF6" s="11"/>
      <c r="BG6" s="11"/>
      <c r="BH6" s="11"/>
      <c r="BI6" s="11"/>
      <c r="BJ6" s="11"/>
      <c r="BK6" s="11"/>
      <c r="BL6" s="11"/>
      <c r="BM6" s="11"/>
      <c r="BN6" s="11" t="n">
        <v>1824.05540520418</v>
      </c>
      <c r="BO6" s="11" t="n">
        <v>1638.64186790661</v>
      </c>
      <c r="BP6" s="11" t="n">
        <v>1702.46940876089</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363.150082905754</v>
      </c>
      <c r="AO7" s="11" t="n">
        <v>355.265423903811</v>
      </c>
      <c r="AP7" s="11" t="n">
        <v>348.907854929247</v>
      </c>
      <c r="AQ7" s="11" t="n">
        <v>341.183234512029</v>
      </c>
      <c r="AR7" s="11" t="n">
        <v>334.358922448123</v>
      </c>
      <c r="AS7" s="11" t="n">
        <v>327.713982125617</v>
      </c>
      <c r="AT7" s="11" t="n">
        <v>320.429867491574</v>
      </c>
      <c r="AU7" s="11" t="n">
        <v>314.955861329269</v>
      </c>
      <c r="AV7" s="11"/>
      <c r="AW7" s="11"/>
      <c r="AX7" s="11"/>
      <c r="AY7" s="11"/>
      <c r="AZ7" s="11"/>
      <c r="BA7" s="11"/>
      <c r="BB7" s="11"/>
      <c r="BC7" s="11"/>
      <c r="BD7" s="11"/>
      <c r="BE7" s="11"/>
      <c r="BF7" s="11"/>
      <c r="BG7" s="11"/>
      <c r="BH7" s="11"/>
      <c r="BI7" s="11"/>
      <c r="BJ7" s="11"/>
      <c r="BK7" s="11"/>
      <c r="BL7" s="11"/>
      <c r="BM7" s="11"/>
      <c r="BN7" s="11" t="n">
        <v>1824.05540520418</v>
      </c>
      <c r="BO7" s="11" t="n">
        <v>1638.64186790661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349.397720465852</v>
      </c>
      <c r="AW8" s="11" t="n">
        <v>345.16629831218</v>
      </c>
      <c r="AX8" s="11" t="n">
        <v>341.791617002469</v>
      </c>
      <c r="AY8" s="11" t="n">
        <v>335.196531395245</v>
      </c>
      <c r="AZ8" s="11" t="n">
        <v>330.917241585146</v>
      </c>
      <c r="BA8" s="11"/>
      <c r="BB8" s="11"/>
      <c r="BC8" s="11"/>
      <c r="BD8" s="11"/>
      <c r="BE8" s="11"/>
      <c r="BF8" s="11"/>
      <c r="BG8" s="11"/>
      <c r="BH8" s="11"/>
      <c r="BI8" s="11"/>
      <c r="BJ8" s="11"/>
      <c r="BK8" s="11"/>
      <c r="BL8" s="11"/>
      <c r="BM8" s="11"/>
      <c r="BN8" s="11"/>
      <c r="BO8" s="11"/>
      <c r="BP8" s="11" t="n">
        <v>1702.46940876089</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87.6506423572419</v>
      </c>
      <c r="AI10" s="11" t="n">
        <v>87.9661491234385</v>
      </c>
      <c r="AJ10" s="11" t="n">
        <v>92.9532506574566</v>
      </c>
      <c r="AK10" s="11" t="n">
        <v>78.6740673305288</v>
      </c>
      <c r="AL10" s="11" t="n">
        <v>74.0601097199175</v>
      </c>
      <c r="AM10" s="11" t="n">
        <v>76.8964500445979</v>
      </c>
      <c r="AN10" s="11" t="n">
        <v>79.9281388705409</v>
      </c>
      <c r="AO10" s="11" t="n">
        <v>79.6971741443558</v>
      </c>
      <c r="AP10" s="11" t="n">
        <v>79.5014839821123</v>
      </c>
      <c r="AQ10" s="11" t="n">
        <v>79.1762863645244</v>
      </c>
      <c r="AR10" s="11" t="n">
        <v>79.1941631391321</v>
      </c>
      <c r="AS10" s="11" t="n">
        <v>78.9767768482968</v>
      </c>
      <c r="AT10" s="11" t="n">
        <v>78.9148043106155</v>
      </c>
      <c r="AU10" s="11" t="n">
        <v>78.8530865578449</v>
      </c>
      <c r="AV10" s="11" t="n">
        <v>78.8409425570692</v>
      </c>
      <c r="AW10" s="11" t="n">
        <v>78.8489765466567</v>
      </c>
      <c r="AX10" s="11" t="n">
        <v>78.9011175813105</v>
      </c>
      <c r="AY10" s="11" t="n">
        <v>79.3303721182135</v>
      </c>
      <c r="AZ10" s="11" t="n">
        <v>79.434245107443</v>
      </c>
      <c r="BA10" s="11" t="n">
        <v>79.6478256487552</v>
      </c>
      <c r="BB10" s="11" t="n">
        <v>79.8721784451413</v>
      </c>
      <c r="BC10" s="11" t="n">
        <v>80.1383856990463</v>
      </c>
      <c r="BD10" s="11" t="n">
        <v>80.4884977798542</v>
      </c>
      <c r="BE10" s="11" t="n">
        <v>80.6819651315405</v>
      </c>
      <c r="BF10" s="11" t="n">
        <v>80.8088481377284</v>
      </c>
      <c r="BG10" s="11" t="n">
        <v>81.1320083991095</v>
      </c>
      <c r="BH10" s="11" t="n">
        <v>81.1166975034059</v>
      </c>
      <c r="BI10" s="11" t="n">
        <v>81.2014824650942</v>
      </c>
      <c r="BJ10" s="11" t="n">
        <v>81.4287959509204</v>
      </c>
      <c r="BK10" s="11" t="n">
        <v>81.4720186026387</v>
      </c>
      <c r="BL10" s="11" t="n">
        <v>81.4336308674684</v>
      </c>
      <c r="BM10" s="11" t="n">
        <v>81.3894865993765</v>
      </c>
      <c r="BN10" s="11" t="n">
        <v>390.083356761524</v>
      </c>
      <c r="BO10" s="11" t="n">
        <v>395.115117220414</v>
      </c>
      <c r="BP10" s="11" t="n">
        <v>395.355653910693</v>
      </c>
      <c r="BQ10" s="11" t="n">
        <v>400.828852704337</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115.129649154599</v>
      </c>
      <c r="AO11" s="11" t="n">
        <v>112.365806926202</v>
      </c>
      <c r="AP11" s="11" t="n">
        <v>109.397629126348</v>
      </c>
      <c r="AQ11" s="11" t="n">
        <v>105.098032583405</v>
      </c>
      <c r="AR11" s="11" t="n">
        <v>99.9514610176677</v>
      </c>
      <c r="AS11" s="11" t="n">
        <v>93.7874783875398</v>
      </c>
      <c r="AT11" s="11" t="n">
        <v>88.1311222590012</v>
      </c>
      <c r="AU11" s="11" t="n">
        <v>82.8958956402348</v>
      </c>
      <c r="AV11" s="11" t="n">
        <v>78.3729980562884</v>
      </c>
      <c r="AW11" s="11" t="n">
        <v>74.3388070504613</v>
      </c>
      <c r="AX11" s="11" t="n">
        <v>70.8152262144486</v>
      </c>
      <c r="AY11" s="11" t="n">
        <v>67.6214144798642</v>
      </c>
      <c r="AZ11" s="11" t="n">
        <v>64.7520256397427</v>
      </c>
      <c r="BA11" s="11" t="n">
        <v>62.2165631987037</v>
      </c>
      <c r="BB11" s="11" t="n">
        <v>60.0359262920354</v>
      </c>
      <c r="BC11" s="11" t="n">
        <v>58.04531992899</v>
      </c>
      <c r="BD11" s="11" t="n">
        <v>56.3867957144846</v>
      </c>
      <c r="BE11" s="11" t="n">
        <v>54.9267429737385</v>
      </c>
      <c r="BF11" s="11" t="n">
        <v>53.7764990401716</v>
      </c>
      <c r="BG11" s="11" t="n">
        <v>52.7707358728373</v>
      </c>
      <c r="BH11" s="11" t="n">
        <v>51.9179572137121</v>
      </c>
      <c r="BI11" s="11" t="n">
        <v>51.2602459677902</v>
      </c>
      <c r="BJ11" s="11" t="n">
        <v>50.6929692550036</v>
      </c>
      <c r="BK11" s="11" t="n">
        <v>50.3639929326236</v>
      </c>
      <c r="BL11" s="11" t="n">
        <v>50.0361005988628</v>
      </c>
      <c r="BM11" s="11" t="n">
        <v>49.7788325118842</v>
      </c>
      <c r="BN11" s="11" t="n">
        <v>558.160712475488</v>
      </c>
      <c r="BO11" s="11" t="n">
        <v>469.863989887848</v>
      </c>
      <c r="BP11" s="11" t="n">
        <v>355.900471440805</v>
      </c>
      <c r="BQ11" s="11" t="n">
        <v>291.611348107952</v>
      </c>
    </row>
    <row r="12" customFormat="false" ht="13.8" hidden="false" customHeight="false" outlineLevel="0" collapsed="false">
      <c r="A12" s="11" t="s">
        <v>137</v>
      </c>
      <c r="B12" s="11" t="s">
        <v>147</v>
      </c>
      <c r="C12" s="11" t="s">
        <v>139</v>
      </c>
      <c r="D12" s="12"/>
      <c r="E12" s="11" t="n">
        <v>14.7877929691883</v>
      </c>
      <c r="F12" s="11" t="n">
        <v>15.1074685752626</v>
      </c>
      <c r="G12" s="11" t="n">
        <v>15.048263855421</v>
      </c>
      <c r="H12" s="11" t="n">
        <v>15.4393606194209</v>
      </c>
      <c r="I12" s="11" t="n">
        <v>16.2460055865244</v>
      </c>
      <c r="J12" s="11" t="n">
        <v>17.3106292243496</v>
      </c>
      <c r="K12" s="11" t="n">
        <v>18.0794444117165</v>
      </c>
      <c r="L12" s="11" t="n">
        <v>19.7762861133536</v>
      </c>
      <c r="M12" s="11" t="n">
        <v>16.7045015612936</v>
      </c>
      <c r="N12" s="11" t="n">
        <v>9.90829358971171</v>
      </c>
      <c r="O12" s="11" t="n">
        <v>8.74166413230262</v>
      </c>
      <c r="P12" s="11" t="n">
        <v>8.96060646846771</v>
      </c>
      <c r="Q12" s="11" t="n">
        <v>9.34796390566103</v>
      </c>
      <c r="R12" s="11" t="n">
        <v>9.91148119417866</v>
      </c>
      <c r="S12" s="11" t="n">
        <v>8.89494250946247</v>
      </c>
      <c r="T12" s="11" t="n">
        <v>9.5209712784328</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9.68541080398269</v>
      </c>
      <c r="AI12" s="11" t="n">
        <v>8.74353063685975</v>
      </c>
      <c r="AJ12" s="11" t="n">
        <v>8.16632698358806</v>
      </c>
      <c r="AK12" s="11" t="n">
        <v>7.55416736500505</v>
      </c>
      <c r="AL12" s="11" t="n">
        <v>7.04466698153908</v>
      </c>
      <c r="AM12" s="11" t="n">
        <v>6.61216432469942</v>
      </c>
      <c r="AN12" s="11" t="n">
        <v>6.26198481466507</v>
      </c>
      <c r="AO12" s="11" t="n">
        <v>5.9345486980428</v>
      </c>
      <c r="AP12" s="11" t="n">
        <v>5.62528837859824</v>
      </c>
      <c r="AQ12" s="11" t="n">
        <v>5.326849896076</v>
      </c>
      <c r="AR12" s="11" t="n">
        <v>5.05583262880687</v>
      </c>
      <c r="AS12" s="11" t="n">
        <v>4.82194424780008</v>
      </c>
      <c r="AT12" s="11" t="n">
        <v>4.61366583925396</v>
      </c>
      <c r="AU12" s="11" t="n">
        <v>4.41350101904454</v>
      </c>
      <c r="AV12" s="11" t="n">
        <v>4.23790151027039</v>
      </c>
      <c r="AW12" s="11" t="n">
        <v>4.07510202245846</v>
      </c>
      <c r="AX12" s="11" t="n">
        <v>3.92752251100253</v>
      </c>
      <c r="AY12" s="11" t="n">
        <v>3.79332865207698</v>
      </c>
      <c r="AZ12" s="11" t="n">
        <v>3.68721875777365</v>
      </c>
      <c r="BA12" s="11" t="n">
        <v>3.60898213485854</v>
      </c>
      <c r="BB12" s="11" t="n">
        <v>3.57479384362746</v>
      </c>
      <c r="BC12" s="11" t="n">
        <v>3.56291385672629</v>
      </c>
      <c r="BD12" s="11" t="n">
        <v>3.56542120647121</v>
      </c>
      <c r="BE12" s="11" t="n">
        <v>3.58036938460624</v>
      </c>
      <c r="BF12" s="11" t="n">
        <v>3.6048385694218</v>
      </c>
      <c r="BG12" s="11" t="n">
        <v>3.63707830122404</v>
      </c>
      <c r="BH12" s="11" t="n">
        <v>3.67524677841862</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60.1841046564571</v>
      </c>
      <c r="H13" s="11" t="n">
        <v>58.9674567061176</v>
      </c>
      <c r="I13" s="11" t="n">
        <v>51.9755160115748</v>
      </c>
      <c r="J13" s="11" t="n">
        <v>54.6368157177593</v>
      </c>
      <c r="K13" s="11" t="n">
        <v>53.9628451509152</v>
      </c>
      <c r="L13" s="11" t="n">
        <v>52.19875606945</v>
      </c>
      <c r="M13" s="11" t="n">
        <v>51.0085474737028</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17.9682740212774</v>
      </c>
      <c r="AO13" s="11" t="n">
        <v>17.1076589888663</v>
      </c>
      <c r="AP13" s="11" t="n">
        <v>16.5641799118225</v>
      </c>
      <c r="AQ13" s="11" t="n">
        <v>15.9308958643443</v>
      </c>
      <c r="AR13" s="11" t="n">
        <v>15.3025356827207</v>
      </c>
      <c r="AS13" s="11" t="n">
        <v>14.3826179926845</v>
      </c>
      <c r="AT13" s="11" t="n">
        <v>13.3521086301144</v>
      </c>
      <c r="AU13" s="11" t="n">
        <v>12.8480747993938</v>
      </c>
      <c r="AV13" s="11" t="n">
        <v>12.0754581160563</v>
      </c>
      <c r="AW13" s="11" t="n">
        <v>11.9164738844398</v>
      </c>
      <c r="AX13" s="11" t="n">
        <v>11.7105375080953</v>
      </c>
      <c r="AY13" s="11" t="n">
        <v>9.95384909357725</v>
      </c>
      <c r="AZ13" s="11" t="n">
        <v>9.65808388612433</v>
      </c>
      <c r="BA13" s="11" t="n">
        <v>9.2898958238356</v>
      </c>
      <c r="BB13" s="11" t="n">
        <v>8.63030921532797</v>
      </c>
      <c r="BC13" s="11" t="n">
        <v>8.41816274823452</v>
      </c>
      <c r="BD13" s="11" t="n">
        <v>7.20668693109375</v>
      </c>
      <c r="BE13" s="11" t="n">
        <v>6.4549009575189</v>
      </c>
      <c r="BF13" s="11" t="n">
        <v>6.20705217410408</v>
      </c>
      <c r="BG13" s="11" t="n">
        <v>6.2002490742449</v>
      </c>
      <c r="BH13" s="11" t="n">
        <v>6.18517782483485</v>
      </c>
      <c r="BI13" s="11" t="n">
        <v>6.18958194038069</v>
      </c>
      <c r="BJ13" s="11" t="n">
        <v>6.17371158460285</v>
      </c>
      <c r="BK13" s="11" t="n">
        <v>5.87930670286178</v>
      </c>
      <c r="BL13" s="11" t="n">
        <v>5.54783759473124</v>
      </c>
      <c r="BM13" s="11" t="n">
        <v>5.40303349302195</v>
      </c>
      <c r="BN13" s="11" t="n">
        <v>88.6581983555081</v>
      </c>
      <c r="BO13" s="11" t="n">
        <v>71.8162329692576</v>
      </c>
      <c r="BP13" s="11" t="n">
        <v>55.314402488293</v>
      </c>
      <c r="BQ13" s="11" t="n">
        <v>39.9999556760107</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54.4634888475166</v>
      </c>
      <c r="AN14" s="11" t="n">
        <v>52.4833537759331</v>
      </c>
      <c r="AO14" s="11" t="n">
        <v>51.613123597052</v>
      </c>
      <c r="AP14" s="11" t="n">
        <v>51.4247402488161</v>
      </c>
      <c r="AQ14" s="11" t="n">
        <v>51.0781958244711</v>
      </c>
      <c r="AR14" s="11" t="n">
        <v>50.7509312186266</v>
      </c>
      <c r="AS14" s="11" t="n">
        <v>50.3412556256284</v>
      </c>
      <c r="AT14" s="11" t="n">
        <v>50.1076181304397</v>
      </c>
      <c r="AU14" s="11" t="n">
        <v>50.0446041046644</v>
      </c>
      <c r="AV14" s="11" t="n">
        <v>49.9472300255478</v>
      </c>
      <c r="AW14" s="11" t="n">
        <v>49.5761547679804</v>
      </c>
      <c r="AX14" s="11" t="n">
        <v>49.431754727144</v>
      </c>
      <c r="AY14" s="11" t="n">
        <v>49.2894855085347</v>
      </c>
      <c r="AZ14" s="11" t="n">
        <v>49.4191430349398</v>
      </c>
      <c r="BA14" s="11" t="n">
        <v>49.4757483317852</v>
      </c>
      <c r="BB14" s="11" t="n">
        <v>49.6259820281297</v>
      </c>
      <c r="BC14" s="11" t="n">
        <v>50.1340903836166</v>
      </c>
      <c r="BD14" s="11" t="n">
        <v>50.8935728523763</v>
      </c>
      <c r="BE14" s="11" t="n">
        <v>51.2336167216988</v>
      </c>
      <c r="BF14" s="11" t="n">
        <v>51.6040678136733</v>
      </c>
      <c r="BG14" s="11" t="n">
        <v>51.9192608078364</v>
      </c>
      <c r="BH14" s="11" t="n">
        <v>52.3545242854814</v>
      </c>
      <c r="BI14" s="11" t="n">
        <v>52.9031408355923</v>
      </c>
      <c r="BJ14" s="11" t="n">
        <v>53.3141233499776</v>
      </c>
      <c r="BK14" s="11" t="n">
        <v>53.8157747815064</v>
      </c>
      <c r="BL14" s="11" t="n">
        <v>54.2910948584612</v>
      </c>
      <c r="BM14" s="11" t="n">
        <v>54.7936156463191</v>
      </c>
      <c r="BN14" s="11" t="n">
        <v>274.072221978284</v>
      </c>
      <c r="BO14" s="11" t="n">
        <v>252.32260490383</v>
      </c>
      <c r="BP14" s="11" t="n">
        <v>247.663768064147</v>
      </c>
      <c r="BQ14" s="11" t="n">
        <v>251.363010317607</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7.29888881565863</v>
      </c>
      <c r="L15" s="11" t="n">
        <v>6.74965008724044</v>
      </c>
      <c r="M15" s="11" t="n">
        <v>5.96165299469253</v>
      </c>
      <c r="N15" s="11" t="n">
        <v>6.07622611866308</v>
      </c>
      <c r="O15" s="11" t="n">
        <v>5.8165000617974</v>
      </c>
      <c r="P15" s="11" t="n">
        <v>5.17351914195232</v>
      </c>
      <c r="Q15" s="11" t="n">
        <v>4.3457864800215</v>
      </c>
      <c r="R15" s="11" t="n">
        <v>4.18559867581597</v>
      </c>
      <c r="S15" s="11" t="n">
        <v>3.32599036920681</v>
      </c>
      <c r="T15" s="11" t="n">
        <v>2.9562338693275</v>
      </c>
      <c r="U15" s="11" t="n">
        <v>2.53705519258907</v>
      </c>
      <c r="V15" s="11" t="n">
        <v>1.91003713291075</v>
      </c>
      <c r="W15" s="11" t="n">
        <v>1.22774903416888</v>
      </c>
      <c r="X15" s="11" t="n">
        <v>1.13558384043056</v>
      </c>
      <c r="Y15" s="11" t="n">
        <v>1.05006812917393</v>
      </c>
      <c r="Z15" s="11" t="n">
        <v>0.403891460082564</v>
      </c>
      <c r="AA15" s="11" t="n">
        <v>0.505346373580899</v>
      </c>
      <c r="AB15" s="11" t="n">
        <v>0.398968456201681</v>
      </c>
      <c r="AC15" s="11" t="n">
        <v>0.0720308545919073</v>
      </c>
      <c r="AD15" s="11" t="n">
        <v>-0.0617161466723142</v>
      </c>
      <c r="AE15" s="11" t="n">
        <v>0.295045210907603</v>
      </c>
      <c r="AF15" s="11" t="n">
        <v>0.0212098248235195</v>
      </c>
      <c r="AG15" s="11" t="n">
        <v>0.684754591408554</v>
      </c>
      <c r="AH15" s="11" t="n">
        <v>0.551649018647838</v>
      </c>
      <c r="AI15" s="11" t="n">
        <v>0.401275637288966</v>
      </c>
      <c r="AJ15" s="11" t="n">
        <v>0.235021339974388</v>
      </c>
      <c r="AK15" s="11" t="n">
        <v>0.541752124764709</v>
      </c>
      <c r="AL15" s="11" t="n">
        <v>1.11971398879782</v>
      </c>
      <c r="AM15" s="11" t="n">
        <v>0.772473937745446</v>
      </c>
      <c r="AN15" s="11" t="n">
        <v>0.85338772111931</v>
      </c>
      <c r="AO15" s="11" t="n">
        <v>0.941803891439629</v>
      </c>
      <c r="AP15" s="11" t="n">
        <v>1.05249354242531</v>
      </c>
      <c r="AQ15" s="11" t="n">
        <v>1.03922145167634</v>
      </c>
      <c r="AR15" s="11" t="n">
        <v>1.18494290131125</v>
      </c>
      <c r="AS15" s="11" t="n">
        <v>1.33687784699157</v>
      </c>
      <c r="AT15" s="11" t="n">
        <v>1.59385231293396</v>
      </c>
      <c r="AU15" s="11" t="n">
        <v>1.8600063221481</v>
      </c>
      <c r="AV15" s="11" t="n">
        <v>2.18002045240814</v>
      </c>
      <c r="AW15" s="11" t="n">
        <v>2.52245540334349</v>
      </c>
      <c r="AX15" s="11" t="n">
        <v>2.86269668185091</v>
      </c>
      <c r="AY15" s="11" t="n">
        <v>3.1910595289671</v>
      </c>
      <c r="AZ15" s="11" t="n">
        <v>3.48110002502241</v>
      </c>
      <c r="BA15" s="11" t="n">
        <v>3.70278702304934</v>
      </c>
      <c r="BB15" s="11" t="n">
        <v>3.92197933803403</v>
      </c>
      <c r="BC15" s="11" t="n">
        <v>4.10534913163693</v>
      </c>
      <c r="BD15" s="11" t="n">
        <v>4.29487024454034</v>
      </c>
      <c r="BE15" s="11" t="n">
        <v>4.41276908506391</v>
      </c>
      <c r="BF15" s="11" t="n">
        <v>4.48241621455591</v>
      </c>
      <c r="BG15" s="11" t="n">
        <v>4.51963787513381</v>
      </c>
      <c r="BH15" s="11" t="n">
        <v>4.51963829708352</v>
      </c>
      <c r="BI15" s="11" t="n">
        <v>4.54417530675067</v>
      </c>
      <c r="BJ15" s="11" t="n">
        <v>4.5413256061281</v>
      </c>
      <c r="BK15" s="11" t="n">
        <v>4.4904485985796</v>
      </c>
      <c r="BL15" s="11" t="n">
        <v>4.432307529618</v>
      </c>
      <c r="BM15" s="11" t="n">
        <v>4.35862189668962</v>
      </c>
      <c r="BN15" s="11" t="n">
        <v>4.73987308152751</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38.722355501135</v>
      </c>
      <c r="AN16" s="11" t="n">
        <v>26.8777794613616</v>
      </c>
      <c r="AO16" s="11" t="n">
        <v>24.5503124149467</v>
      </c>
      <c r="AP16" s="11" t="n">
        <v>22.0615246455058</v>
      </c>
      <c r="AQ16" s="11" t="n">
        <v>21.2853529289559</v>
      </c>
      <c r="AR16" s="11" t="n">
        <v>21.6004533801253</v>
      </c>
      <c r="AS16" s="11" t="n">
        <v>23.6639600617013</v>
      </c>
      <c r="AT16" s="11" t="n">
        <v>24.195269174666</v>
      </c>
      <c r="AU16" s="11" t="n">
        <v>25.3560940408866</v>
      </c>
      <c r="AV16" s="11" t="n">
        <v>26.7292772479328</v>
      </c>
      <c r="AW16" s="11" t="n">
        <v>28.1261297208766</v>
      </c>
      <c r="AX16" s="11" t="n">
        <v>29.2605566372262</v>
      </c>
      <c r="AY16" s="11" t="n">
        <v>28.4009072132439</v>
      </c>
      <c r="AZ16" s="11" t="n">
        <v>28.2656911961343</v>
      </c>
      <c r="BA16" s="11" t="n">
        <v>28.6062307278768</v>
      </c>
      <c r="BB16" s="11" t="n">
        <v>28.963272944769</v>
      </c>
      <c r="BC16" s="11" t="n">
        <v>29.5198812211676</v>
      </c>
      <c r="BD16" s="11" t="n">
        <v>30.8259775974562</v>
      </c>
      <c r="BE16" s="11" t="n">
        <v>32.4651850532375</v>
      </c>
      <c r="BF16" s="11" t="n">
        <v>33.7091332749598</v>
      </c>
      <c r="BG16" s="11" t="n">
        <v>34.9374692351014</v>
      </c>
      <c r="BH16" s="11" t="n">
        <v>35.5473048143818</v>
      </c>
      <c r="BI16" s="11" t="n">
        <v>36.716490827931</v>
      </c>
      <c r="BJ16" s="11" t="n">
        <v>37.7074584404175</v>
      </c>
      <c r="BK16" s="11" t="n">
        <v>39.0763344388822</v>
      </c>
      <c r="BL16" s="11" t="n">
        <v>39.6730553477563</v>
      </c>
      <c r="BM16" s="11" t="n">
        <v>40.9557563067436</v>
      </c>
      <c r="BN16" s="11" t="n">
        <v>156.145468792091</v>
      </c>
      <c r="BO16" s="11" t="n">
        <v>116.101129586335</v>
      </c>
      <c r="BP16" s="11" t="n">
        <v>140.782562015414</v>
      </c>
      <c r="BQ16" s="11" t="n">
        <v>150.380547544507</v>
      </c>
    </row>
    <row r="17" customFormat="false" ht="13.8" hidden="false" customHeight="false" outlineLevel="0" collapsed="false">
      <c r="A17" s="11" t="s">
        <v>137</v>
      </c>
      <c r="B17" s="11" t="s">
        <v>152</v>
      </c>
      <c r="C17" s="11" t="s">
        <v>139</v>
      </c>
      <c r="D17" s="12"/>
      <c r="E17" s="11" t="n">
        <v>70.0972561713185</v>
      </c>
      <c r="F17" s="11" t="n">
        <v>70.9694415618387</v>
      </c>
      <c r="G17" s="11" t="n">
        <v>71.132294619585</v>
      </c>
      <c r="H17" s="11" t="n">
        <v>71.8122172910779</v>
      </c>
      <c r="I17" s="11" t="n">
        <v>72.2957485820843</v>
      </c>
      <c r="J17" s="11" t="n">
        <v>73.0157977582614</v>
      </c>
      <c r="K17" s="11" t="n">
        <v>73.6646952887652</v>
      </c>
      <c r="L17" s="11" t="n">
        <v>73.2585135370301</v>
      </c>
      <c r="M17" s="11" t="n">
        <v>72.857866554095</v>
      </c>
      <c r="N17" s="11" t="n">
        <v>70.3376634874946</v>
      </c>
      <c r="O17" s="11" t="n">
        <v>67.5493303656442</v>
      </c>
      <c r="P17" s="11" t="n">
        <v>65.2372960190355</v>
      </c>
      <c r="Q17" s="11" t="n">
        <v>64.7778902640439</v>
      </c>
      <c r="R17" s="11" t="n">
        <v>61.3375599734718</v>
      </c>
      <c r="S17" s="11" t="n">
        <v>56.672189154327</v>
      </c>
      <c r="T17" s="11" t="n">
        <v>54.4072424596031</v>
      </c>
      <c r="U17" s="11" t="n">
        <v>52.4213760930319</v>
      </c>
      <c r="V17" s="11" t="n">
        <v>48.8156230762384</v>
      </c>
      <c r="W17" s="11" t="n">
        <v>43.9393870887183</v>
      </c>
      <c r="X17" s="11" t="n">
        <v>39.8636352384587</v>
      </c>
      <c r="Y17" s="11" t="n">
        <v>34.6261847227992</v>
      </c>
      <c r="Z17" s="11" t="n">
        <v>32.3276483620429</v>
      </c>
      <c r="AA17" s="11" t="n">
        <v>30.6018352790237</v>
      </c>
      <c r="AB17" s="11" t="n">
        <v>27.2165028540719</v>
      </c>
      <c r="AC17" s="11" t="n">
        <v>24.7648403332128</v>
      </c>
      <c r="AD17" s="11" t="n">
        <v>23.9395272811453</v>
      </c>
      <c r="AE17" s="11" t="n">
        <v>22.7629858056435</v>
      </c>
      <c r="AF17" s="11" t="n">
        <v>23.1009316290312</v>
      </c>
      <c r="AG17" s="11" t="n">
        <v>22.9437825900192</v>
      </c>
      <c r="AH17" s="11" t="n">
        <v>22.4612195704563</v>
      </c>
      <c r="AI17" s="11" t="n">
        <v>20.9554957607479</v>
      </c>
      <c r="AJ17" s="11" t="n">
        <v>19.8902591743334</v>
      </c>
      <c r="AK17" s="11" t="n">
        <v>19.7926657409702</v>
      </c>
      <c r="AL17" s="11" t="n">
        <v>19.6853537342984</v>
      </c>
      <c r="AM17" s="11" t="n">
        <v>18.8578119235528</v>
      </c>
      <c r="AN17" s="11" t="n">
        <v>18.4909497183457</v>
      </c>
      <c r="AO17" s="11" t="n">
        <v>18.0743866765582</v>
      </c>
      <c r="AP17" s="11" t="n">
        <v>18.3867932194325</v>
      </c>
      <c r="AQ17" s="11" t="n">
        <v>17.415548219961</v>
      </c>
      <c r="AR17" s="11" t="n">
        <v>16.5614517798263</v>
      </c>
      <c r="AS17" s="11" t="n">
        <v>15.7571239965547</v>
      </c>
      <c r="AT17" s="11" t="n">
        <v>15.0464164744527</v>
      </c>
      <c r="AU17" s="11" t="n">
        <v>14.4193129434863</v>
      </c>
      <c r="AV17" s="11" t="n">
        <v>13.8675624991065</v>
      </c>
      <c r="AW17" s="11" t="n">
        <v>13.3857901447412</v>
      </c>
      <c r="AX17" s="11" t="n">
        <v>12.9662325038224</v>
      </c>
      <c r="AY17" s="11" t="n">
        <v>12.6009454314573</v>
      </c>
      <c r="AZ17" s="11" t="n">
        <v>12.2821464538741</v>
      </c>
      <c r="BA17" s="11" t="n">
        <v>12.0057348341887</v>
      </c>
      <c r="BB17" s="11" t="n">
        <v>11.7679529393042</v>
      </c>
      <c r="BC17" s="11" t="n">
        <v>11.5657370193379</v>
      </c>
      <c r="BD17" s="11" t="n">
        <v>11.4522865372673</v>
      </c>
      <c r="BE17" s="11" t="n">
        <v>11.3683591498676</v>
      </c>
      <c r="BF17" s="11" t="n">
        <v>11.3114992126857</v>
      </c>
      <c r="BG17" s="11" t="n">
        <v>11.2794735223215</v>
      </c>
      <c r="BH17" s="11" t="n">
        <v>11.2710118206388</v>
      </c>
      <c r="BI17" s="11" t="n">
        <v>11.2828084467178</v>
      </c>
      <c r="BJ17" s="11" t="n">
        <v>11.3130074581611</v>
      </c>
      <c r="BK17" s="11" t="n">
        <v>11.3600862871595</v>
      </c>
      <c r="BL17" s="11" t="n">
        <v>11.4228448054899</v>
      </c>
      <c r="BM17" s="11" t="n">
        <v>11.5001757254339</v>
      </c>
      <c r="BN17" s="11" t="n">
        <v>93.4952952721876</v>
      </c>
      <c r="BO17" s="11" t="n">
        <v>79.1998534142811</v>
      </c>
      <c r="BP17" s="11" t="n">
        <v>65.1026770330016</v>
      </c>
      <c r="BQ17" s="11" t="n">
        <v>58.1600704799657</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42.6709123373074</v>
      </c>
      <c r="AO18" s="11" t="n">
        <v>42.1515661275554</v>
      </c>
      <c r="AP18" s="11" t="n">
        <v>41.9723848212771</v>
      </c>
      <c r="AQ18" s="11" t="n">
        <v>41.0235200162787</v>
      </c>
      <c r="AR18" s="11" t="n">
        <v>41.2712917348442</v>
      </c>
      <c r="AS18" s="11" t="n">
        <v>40.2550509807</v>
      </c>
      <c r="AT18" s="11" t="n">
        <v>40.1744371287429</v>
      </c>
      <c r="AU18" s="11" t="n">
        <v>39.8148793819014</v>
      </c>
      <c r="AV18" s="11" t="n">
        <v>39.1131544836259</v>
      </c>
      <c r="AW18" s="11" t="n">
        <v>38.5920769166463</v>
      </c>
      <c r="AX18" s="11" t="n">
        <v>38.3843331382221</v>
      </c>
      <c r="AY18" s="11" t="n">
        <v>37.7781414246568</v>
      </c>
      <c r="AZ18" s="11" t="n">
        <v>37.0109054828062</v>
      </c>
      <c r="BA18" s="11" t="n">
        <v>36.8346312151507</v>
      </c>
      <c r="BB18" s="11" t="n">
        <v>36.859755229299</v>
      </c>
      <c r="BC18" s="11" t="n">
        <v>36.5757137461941</v>
      </c>
      <c r="BD18" s="11" t="n">
        <v>37.0523524737419</v>
      </c>
      <c r="BE18" s="11" t="n">
        <v>37.5819623734359</v>
      </c>
      <c r="BF18" s="11" t="n">
        <v>37.5074395695807</v>
      </c>
      <c r="BG18" s="11" t="n">
        <v>37.2031827960332</v>
      </c>
      <c r="BH18" s="11" t="n">
        <v>36.7393215363397</v>
      </c>
      <c r="BI18" s="11" t="n">
        <v>36.2480405962512</v>
      </c>
      <c r="BJ18" s="11" t="n">
        <v>35.5353123246789</v>
      </c>
      <c r="BK18" s="11" t="n">
        <v>35.731052983795</v>
      </c>
      <c r="BL18" s="11" t="n">
        <v>34.6046567857409</v>
      </c>
      <c r="BM18" s="11" t="n">
        <v>34.0464399792679</v>
      </c>
      <c r="BN18" s="11" t="n">
        <v>208.600795289523</v>
      </c>
      <c r="BO18" s="11" t="n">
        <v>202.539179242467</v>
      </c>
      <c r="BP18" s="11" t="n">
        <v>190.878611445957</v>
      </c>
      <c r="BQ18" s="11" t="n">
        <v>184.904415037821</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333.205764375449</v>
      </c>
      <c r="AN19" s="11" t="n">
        <v>326.137280109719</v>
      </c>
      <c r="AO19" s="11" t="n">
        <v>318.757460118741</v>
      </c>
      <c r="AP19" s="11" t="n">
        <v>312.443106446086</v>
      </c>
      <c r="AQ19" s="11" t="n">
        <v>305.411879775612</v>
      </c>
      <c r="AR19" s="11" t="n">
        <v>300.130588091081</v>
      </c>
      <c r="AS19" s="11" t="n">
        <v>293.79562381789</v>
      </c>
      <c r="AT19" s="11" t="n">
        <v>287.660431441004</v>
      </c>
      <c r="AU19" s="11" t="n">
        <v>283.105670443074</v>
      </c>
      <c r="AV19" s="11" t="n">
        <v>278.851776311719</v>
      </c>
      <c r="AW19" s="11" t="n">
        <v>275.594058406446</v>
      </c>
      <c r="AX19" s="11" t="n">
        <v>273.197528533819</v>
      </c>
      <c r="AY19" s="11" t="n">
        <v>267.56368847808</v>
      </c>
      <c r="AZ19" s="11" t="n">
        <v>264.2653727141</v>
      </c>
      <c r="BA19" s="11" t="n">
        <v>262.071516370379</v>
      </c>
      <c r="BB19" s="11" t="n">
        <v>260.277991470128</v>
      </c>
      <c r="BC19" s="11" t="n">
        <v>259.366295791508</v>
      </c>
      <c r="BD19" s="11" t="n">
        <v>259.742575091974</v>
      </c>
      <c r="BE19" s="11" t="n">
        <v>260.468669237487</v>
      </c>
      <c r="BF19" s="11" t="n">
        <v>260.8372499341</v>
      </c>
      <c r="BG19" s="11" t="n">
        <v>261.463591900462</v>
      </c>
      <c r="BH19" s="11" t="n">
        <v>261.197289677913</v>
      </c>
      <c r="BI19" s="11" t="n">
        <v>261.91224202598</v>
      </c>
      <c r="BJ19" s="11" t="n">
        <v>262.288109346733</v>
      </c>
      <c r="BK19" s="11" t="n">
        <v>263.753360860108</v>
      </c>
      <c r="BL19" s="11" t="n">
        <v>262.971596870907</v>
      </c>
      <c r="BM19" s="11" t="n">
        <v>263.69273046819</v>
      </c>
      <c r="BN19" s="11" t="n">
        <v>1632.47775957925</v>
      </c>
      <c r="BO19" s="11" t="n">
        <v>1470.10419356866</v>
      </c>
      <c r="BP19" s="11" t="n">
        <v>1359.47242444416</v>
      </c>
      <c r="BQ19" s="11" t="n">
        <v>1301.92704796147</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141.138614388231</v>
      </c>
      <c r="L20" s="11" t="n">
        <v>138.524436182827</v>
      </c>
      <c r="M20" s="11" t="n">
        <v>135.462212228555</v>
      </c>
      <c r="N20" s="11" t="n">
        <v>129.859065263225</v>
      </c>
      <c r="O20" s="11" t="n">
        <v>123.920486839629</v>
      </c>
      <c r="P20" s="11" t="n">
        <v>118.64001130189</v>
      </c>
      <c r="Q20" s="11" t="n">
        <v>116.77678020067</v>
      </c>
      <c r="R20" s="11" t="n">
        <v>111.853160224235</v>
      </c>
      <c r="S20" s="11" t="n">
        <v>107.03393682204</v>
      </c>
      <c r="T20" s="11" t="n">
        <v>102.664117491926</v>
      </c>
      <c r="U20" s="11" t="n">
        <v>99.2297893209561</v>
      </c>
      <c r="V20" s="11" t="n">
        <v>94.775315317842</v>
      </c>
      <c r="W20" s="11" t="n">
        <v>88.4981359307023</v>
      </c>
      <c r="X20" s="11" t="n">
        <v>83.9244036183387</v>
      </c>
      <c r="Y20" s="11" t="n">
        <v>78.667322755185</v>
      </c>
      <c r="Z20" s="11" t="n">
        <v>75.6712751364844</v>
      </c>
      <c r="AA20" s="11" t="n">
        <v>73.8280122064821</v>
      </c>
      <c r="AB20" s="11" t="n">
        <v>68.980177011707</v>
      </c>
      <c r="AC20" s="11" t="n">
        <v>66.6821086932931</v>
      </c>
      <c r="AD20" s="11" t="n">
        <v>65.4783580021182</v>
      </c>
      <c r="AE20" s="11" t="n">
        <v>63.0801894570004</v>
      </c>
      <c r="AF20" s="11" t="n">
        <v>63.35861040571</v>
      </c>
      <c r="AG20" s="11" t="n">
        <v>62.7602337118584</v>
      </c>
      <c r="AH20" s="11" t="n">
        <v>62.4134940187284</v>
      </c>
      <c r="AI20" s="11" t="n">
        <v>59.9984424095153</v>
      </c>
      <c r="AJ20" s="11" t="n">
        <v>58.7276734594613</v>
      </c>
      <c r="AK20" s="11" t="n">
        <v>58.0898467243932</v>
      </c>
      <c r="AL20" s="11" t="n">
        <v>57.0200585910277</v>
      </c>
      <c r="AM20" s="11" t="n">
        <v>55.5172727235413</v>
      </c>
      <c r="AN20" s="11" t="n">
        <v>54.6857890237077</v>
      </c>
      <c r="AO20" s="11" t="n">
        <v>54.0095013140067</v>
      </c>
      <c r="AP20" s="11" t="n">
        <v>54.1413233854375</v>
      </c>
      <c r="AQ20" s="11" t="n">
        <v>52.9286692174577</v>
      </c>
      <c r="AR20" s="11" t="n">
        <v>51.928236214496</v>
      </c>
      <c r="AS20" s="11" t="n">
        <v>50.9111707971745</v>
      </c>
      <c r="AT20" s="11" t="n">
        <v>49.9687073575034</v>
      </c>
      <c r="AU20" s="11" t="n">
        <v>49.0323029632085</v>
      </c>
      <c r="AV20" s="11" t="n">
        <v>48.1810063468209</v>
      </c>
      <c r="AW20" s="11" t="n">
        <v>47.4462306021382</v>
      </c>
      <c r="AX20" s="11" t="n">
        <v>46.721294285797</v>
      </c>
      <c r="AY20" s="11" t="n">
        <v>46.0011745299019</v>
      </c>
      <c r="AZ20" s="11" t="n">
        <v>45.3144958427966</v>
      </c>
      <c r="BA20" s="11" t="n">
        <v>44.7306354128517</v>
      </c>
      <c r="BB20" s="11" t="n">
        <v>44.1647442493097</v>
      </c>
      <c r="BC20" s="11" t="n">
        <v>43.6417412504024</v>
      </c>
      <c r="BD20" s="11" t="n">
        <v>43.1263781860646</v>
      </c>
      <c r="BE20" s="11" t="n">
        <v>42.6513770245953</v>
      </c>
      <c r="BF20" s="11" t="n">
        <v>42.2437160171597</v>
      </c>
      <c r="BG20" s="11" t="n">
        <v>41.8572605131941</v>
      </c>
      <c r="BH20" s="11" t="n">
        <v>41.4871455710064</v>
      </c>
      <c r="BI20" s="11" t="n">
        <v>41.1339458665548</v>
      </c>
      <c r="BJ20" s="11" t="n">
        <v>40.7918885106066</v>
      </c>
      <c r="BK20" s="11" t="n">
        <v>40.4707070402918</v>
      </c>
      <c r="BL20" s="11" t="n">
        <v>40.1740676788677</v>
      </c>
      <c r="BM20" s="11" t="n">
        <v>39.8990298252565</v>
      </c>
      <c r="BN20" s="11" t="n">
        <v>275.373945037721</v>
      </c>
      <c r="BO20" s="11" t="n">
        <v>254.76908654984</v>
      </c>
      <c r="BP20" s="11" t="n">
        <v>233.664201607454</v>
      </c>
      <c r="BQ20" s="11" t="n">
        <v>218.314876123224</v>
      </c>
    </row>
    <row r="21" customFormat="false" ht="13.8" hidden="false" customHeight="false" outlineLevel="0" collapsed="false">
      <c r="A21" s="11" t="s">
        <v>156</v>
      </c>
      <c r="B21" s="11" t="s">
        <v>140</v>
      </c>
      <c r="C21" s="11" t="s">
        <v>139</v>
      </c>
      <c r="D21" s="12"/>
      <c r="E21" s="11" t="n">
        <v>44.3002234775336</v>
      </c>
      <c r="F21" s="11" t="n">
        <v>44.4052277252299</v>
      </c>
      <c r="G21" s="11" t="n">
        <v>39.9378274497614</v>
      </c>
      <c r="H21" s="11" t="n">
        <v>36.1377812173721</v>
      </c>
      <c r="I21" s="11" t="n">
        <v>36.733575590136</v>
      </c>
      <c r="J21" s="11" t="n">
        <v>35.5262647513158</v>
      </c>
      <c r="K21" s="11" t="n">
        <v>35.5202840220701</v>
      </c>
      <c r="L21" s="11" t="n">
        <v>35.7888793937191</v>
      </c>
      <c r="M21" s="11" t="n">
        <v>35.8446693081235</v>
      </c>
      <c r="N21" s="11" t="n">
        <v>27.2931949805531</v>
      </c>
      <c r="O21" s="11" t="n">
        <v>26.7745080049933</v>
      </c>
      <c r="P21" s="11" t="n">
        <v>25.5332295216333</v>
      </c>
      <c r="Q21" s="11" t="n">
        <v>24.0080781455952</v>
      </c>
      <c r="R21" s="11" t="n">
        <v>23.6493473576149</v>
      </c>
      <c r="S21" s="11" t="n">
        <v>24.1732056787632</v>
      </c>
      <c r="T21" s="11" t="n">
        <v>23.2738708129377</v>
      </c>
      <c r="U21" s="11" t="n">
        <v>22.3723859735233</v>
      </c>
      <c r="V21" s="11" t="n">
        <v>22.3871776205364</v>
      </c>
      <c r="W21" s="11" t="n">
        <v>21.8687745509561</v>
      </c>
      <c r="X21" s="11" t="n">
        <v>20.4093851389545</v>
      </c>
      <c r="Y21" s="11" t="n">
        <v>20.850592457761</v>
      </c>
      <c r="Z21" s="11" t="n">
        <v>20.1180492670757</v>
      </c>
      <c r="AA21" s="11" t="n">
        <v>20.0301007556531</v>
      </c>
      <c r="AB21" s="11" t="n">
        <v>20.07578522778</v>
      </c>
      <c r="AC21" s="11" t="n">
        <v>20.5757861988295</v>
      </c>
      <c r="AD21" s="11" t="n">
        <v>20.4522889297316</v>
      </c>
      <c r="AE21" s="11" t="n">
        <v>20.0055547697637</v>
      </c>
      <c r="AF21" s="11" t="n">
        <v>20.2878791430463</v>
      </c>
      <c r="AG21" s="11" t="n">
        <v>20.1618254992518</v>
      </c>
      <c r="AH21" s="11" t="n">
        <v>20.2029843423827</v>
      </c>
      <c r="AI21" s="11" t="n">
        <v>18.9789878158805</v>
      </c>
      <c r="AJ21" s="11" t="n">
        <v>19.343581552368</v>
      </c>
      <c r="AK21" s="11" t="n">
        <v>18.5808205022007</v>
      </c>
      <c r="AL21" s="11" t="n">
        <v>18.4485657982639</v>
      </c>
      <c r="AM21" s="11" t="n">
        <v>18.7553341449773</v>
      </c>
      <c r="AN21" s="11" t="n">
        <v>18.7359412949699</v>
      </c>
      <c r="AO21" s="11" t="n">
        <v>18.7154799005757</v>
      </c>
      <c r="AP21" s="11" t="n">
        <v>18.6705215404028</v>
      </c>
      <c r="AQ21" s="11" t="n">
        <v>18.5393556391618</v>
      </c>
      <c r="AR21" s="11" t="n">
        <v>18.5155572485831</v>
      </c>
      <c r="AS21" s="11" t="n">
        <v>18.4402942434531</v>
      </c>
      <c r="AT21" s="11" t="n">
        <v>18.3614999825554</v>
      </c>
      <c r="AU21" s="11" t="n">
        <v>18.2192662858434</v>
      </c>
      <c r="AV21" s="11" t="n">
        <v>18.1270362970417</v>
      </c>
      <c r="AW21" s="11" t="n">
        <v>18.0509072811381</v>
      </c>
      <c r="AX21" s="11" t="n">
        <v>17.9452716718497</v>
      </c>
      <c r="AY21" s="11" t="n">
        <v>17.8383397351854</v>
      </c>
      <c r="AZ21" s="11" t="n">
        <v>17.650154270476</v>
      </c>
      <c r="BA21" s="11" t="n">
        <v>17.5759344119317</v>
      </c>
      <c r="BB21" s="11" t="n">
        <v>17.4946105369865</v>
      </c>
      <c r="BC21" s="11" t="n">
        <v>17.4185192683857</v>
      </c>
      <c r="BD21" s="11" t="n">
        <v>17.3424066421708</v>
      </c>
      <c r="BE21" s="11" t="n">
        <v>17.2731600184315</v>
      </c>
      <c r="BF21" s="11" t="n">
        <v>17.2155849274027</v>
      </c>
      <c r="BG21" s="11" t="n">
        <v>17.1602871347461</v>
      </c>
      <c r="BH21" s="11" t="n">
        <v>17.103208274026</v>
      </c>
      <c r="BI21" s="11" t="n">
        <v>17.051028532067</v>
      </c>
      <c r="BJ21" s="11" t="n">
        <v>16.9958540440811</v>
      </c>
      <c r="BK21" s="11" t="n">
        <v>16.9453861776162</v>
      </c>
      <c r="BL21" s="11" t="n">
        <v>16.8867885264559</v>
      </c>
      <c r="BM21" s="11" t="n">
        <v>16.8347585986173</v>
      </c>
      <c r="BN21" s="11" t="n">
        <v>93.3258426791896</v>
      </c>
      <c r="BO21" s="11" t="n">
        <v>92.0759733995967</v>
      </c>
      <c r="BP21" s="11" t="n">
        <v>89.6117092556909</v>
      </c>
      <c r="BQ21" s="11" t="n">
        <v>87.1046308779062</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7.05228750474408</v>
      </c>
      <c r="Q22" s="11" t="n">
        <v>7.4688138300499</v>
      </c>
      <c r="R22" s="11" t="n">
        <v>8.25870624154292</v>
      </c>
      <c r="S22" s="11" t="n">
        <v>7.36937772653388</v>
      </c>
      <c r="T22" s="11" t="n">
        <v>8.09555591302204</v>
      </c>
      <c r="U22" s="11" t="n">
        <v>8.88703175483168</v>
      </c>
      <c r="V22" s="11" t="n">
        <v>9.24213661121652</v>
      </c>
      <c r="W22" s="11" t="n">
        <v>9.58107153266835</v>
      </c>
      <c r="X22" s="11" t="n">
        <v>10.0020094196355</v>
      </c>
      <c r="Y22" s="11" t="n">
        <v>10.4979550302191</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4.09884472060176</v>
      </c>
      <c r="AU22" s="11" t="n">
        <v>3.89091088317771</v>
      </c>
      <c r="AV22" s="11" t="n">
        <v>3.70734813175857</v>
      </c>
      <c r="AW22" s="11" t="n">
        <v>3.53638632023551</v>
      </c>
      <c r="AX22" s="11" t="n">
        <v>3.38044042697567</v>
      </c>
      <c r="AY22" s="11" t="n">
        <v>3.24624656805012</v>
      </c>
      <c r="AZ22" s="11" t="n">
        <v>3.14013667374679</v>
      </c>
      <c r="BA22" s="11" t="n">
        <v>3.06190005083168</v>
      </c>
      <c r="BB22" s="11" t="n">
        <v>3.0277117596006</v>
      </c>
      <c r="BC22" s="11" t="n">
        <v>3.01583177269943</v>
      </c>
      <c r="BD22" s="11" t="n">
        <v>3.01833912244435</v>
      </c>
      <c r="BE22" s="11" t="n">
        <v>3.03328730057938</v>
      </c>
      <c r="BF22" s="11" t="n">
        <v>3.05775648539494</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1.48366130882975</v>
      </c>
      <c r="F23" s="11" t="n">
        <v>1.24305334298279</v>
      </c>
      <c r="G23" s="11" t="n">
        <v>0.617640551647897</v>
      </c>
      <c r="H23" s="11" t="n">
        <v>0.538700846476154</v>
      </c>
      <c r="I23" s="11" t="n">
        <v>0.546409279966551</v>
      </c>
      <c r="J23" s="11" t="n">
        <v>0.533270281772292</v>
      </c>
      <c r="K23" s="11" t="n">
        <v>0.531928867885412</v>
      </c>
      <c r="L23" s="11" t="n">
        <v>0.44692564402011</v>
      </c>
      <c r="M23" s="11" t="n">
        <v>0.43528910732139</v>
      </c>
      <c r="N23" s="11" t="n">
        <v>0.412312802276656</v>
      </c>
      <c r="O23" s="11" t="n">
        <v>0.51862161306472</v>
      </c>
      <c r="P23" s="11" t="n">
        <v>0.432138729457178</v>
      </c>
      <c r="Q23" s="11" t="n">
        <v>0.364067786446408</v>
      </c>
      <c r="R23" s="11" t="n">
        <v>0.318513971049458</v>
      </c>
      <c r="S23" s="11" t="n">
        <v>0.402942811428176</v>
      </c>
      <c r="T23" s="11" t="n">
        <v>0.368307653921605</v>
      </c>
      <c r="U23" s="11" t="n">
        <v>0.369821205860997</v>
      </c>
      <c r="V23" s="11" t="n">
        <v>0.277694286963564</v>
      </c>
      <c r="W23" s="11" t="n">
        <v>0.255311612882481</v>
      </c>
      <c r="X23" s="11" t="n">
        <v>0.195240026958578</v>
      </c>
      <c r="Y23" s="11" t="n">
        <v>0.281496039558142</v>
      </c>
      <c r="Z23" s="11" t="n">
        <v>0.399303588048535</v>
      </c>
      <c r="AA23" s="11" t="n">
        <v>0.243138181819986</v>
      </c>
      <c r="AB23" s="11" t="n">
        <v>0.294217429839836</v>
      </c>
      <c r="AC23" s="11" t="n">
        <v>0.23782779605641</v>
      </c>
      <c r="AD23" s="11" t="n">
        <v>0.274427975434271</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0.145322964863699</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0.788373788456026</v>
      </c>
      <c r="BP23" s="11" t="n">
        <v>0.788373788456026</v>
      </c>
      <c r="BQ23" s="11" t="n">
        <v>0.788373788456026</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0.426418736992623</v>
      </c>
      <c r="AE24" s="11" t="n">
        <v>0.458386532676318</v>
      </c>
      <c r="AF24" s="11" t="n">
        <v>0.460093295564997</v>
      </c>
      <c r="AG24" s="11" t="n">
        <v>0.565037427403676</v>
      </c>
      <c r="AH24" s="11" t="n">
        <v>0.49719676355469</v>
      </c>
      <c r="AI24" s="11" t="n">
        <v>0.425406162786779</v>
      </c>
      <c r="AJ24" s="11" t="n">
        <v>0.38749956929647</v>
      </c>
      <c r="AK24" s="11" t="n">
        <v>0.333442729385777</v>
      </c>
      <c r="AL24" s="11" t="n">
        <v>0.301791676439176</v>
      </c>
      <c r="AM24" s="11" t="n">
        <v>0.307854862676676</v>
      </c>
      <c r="AN24" s="11" t="n">
        <v>0.314290204270113</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0.372815184884234</v>
      </c>
      <c r="AW24" s="11" t="n">
        <v>0.380977508595361</v>
      </c>
      <c r="AX24" s="11" t="n">
        <v>0.389343890399265</v>
      </c>
      <c r="AY24" s="11" t="n">
        <v>0.389343890399265</v>
      </c>
      <c r="AZ24" s="11" t="n">
        <v>0.389343890399265</v>
      </c>
      <c r="BA24" s="11" t="n">
        <v>0.389343890399265</v>
      </c>
      <c r="BB24" s="11" t="n">
        <v>0.389343890399265</v>
      </c>
      <c r="BC24" s="11" t="n">
        <v>0.389343890399265</v>
      </c>
      <c r="BD24" s="11" t="n">
        <v>0.389343890399265</v>
      </c>
      <c r="BE24" s="11" t="n">
        <v>0.389343890399265</v>
      </c>
      <c r="BF24" s="11" t="n">
        <v>0.389343890399265</v>
      </c>
      <c r="BG24" s="11" t="n">
        <v>0.389343890399265</v>
      </c>
      <c r="BH24" s="11" t="n">
        <v>0.389343890399265</v>
      </c>
      <c r="BI24" s="11" t="n">
        <v>0.389343890399265</v>
      </c>
      <c r="BJ24" s="11" t="n">
        <v>0.389343890399265</v>
      </c>
      <c r="BK24" s="11" t="n">
        <v>0.389343890399265</v>
      </c>
      <c r="BL24" s="11" t="n">
        <v>0.389343890399265</v>
      </c>
      <c r="BM24" s="11" t="n">
        <v>0.389343890399265</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32.3429075604533</v>
      </c>
      <c r="H27" s="11" t="n">
        <v>32.2867215516015</v>
      </c>
      <c r="I27" s="11" t="n">
        <v>32.4376625870691</v>
      </c>
      <c r="J27" s="11" t="n">
        <v>32.2069060308038</v>
      </c>
      <c r="K27" s="11" t="n">
        <v>32.8262420298166</v>
      </c>
      <c r="L27" s="11" t="n">
        <v>32.5783502819476</v>
      </c>
      <c r="M27" s="11" t="n">
        <v>32.6734220770182</v>
      </c>
      <c r="N27" s="11" t="n">
        <v>32.5130465142707</v>
      </c>
      <c r="O27" s="11" t="n">
        <v>31.5208846643531</v>
      </c>
      <c r="P27" s="11" t="n">
        <v>29.9473573096137</v>
      </c>
      <c r="Q27" s="11" t="n">
        <v>29.4891220094733</v>
      </c>
      <c r="R27" s="11" t="n">
        <v>29.7648113387233</v>
      </c>
      <c r="S27" s="11" t="n">
        <v>30.0129038331228</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27.8900628145383</v>
      </c>
      <c r="AK27" s="11" t="n">
        <v>27.7847764250513</v>
      </c>
      <c r="AL27" s="11" t="n">
        <v>27.2034581433579</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16.3728090246473</v>
      </c>
      <c r="F28" s="11" t="n">
        <v>16.3652204738222</v>
      </c>
      <c r="G28" s="11" t="n">
        <v>15.7880323748618</v>
      </c>
      <c r="H28" s="11" t="n">
        <v>15.3872752709717</v>
      </c>
      <c r="I28" s="11" t="n">
        <v>15.9578378738726</v>
      </c>
      <c r="J28" s="11" t="n">
        <v>16.0073151624586</v>
      </c>
      <c r="K28" s="11" t="n">
        <v>16.2385566670362</v>
      </c>
      <c r="L28" s="11" t="n">
        <v>16.4227129027924</v>
      </c>
      <c r="M28" s="11" t="n">
        <v>16.2079933627153</v>
      </c>
      <c r="N28" s="11" t="n">
        <v>16.2277371694367</v>
      </c>
      <c r="O28" s="11" t="n">
        <v>15.5059070589611</v>
      </c>
      <c r="P28" s="11" t="n">
        <v>14.9262809717382</v>
      </c>
      <c r="Q28" s="11" t="n">
        <v>14.9166492139828</v>
      </c>
      <c r="R28" s="11" t="n">
        <v>14.8411843098522</v>
      </c>
      <c r="S28" s="11" t="n">
        <v>14.6249013723468</v>
      </c>
      <c r="T28" s="11" t="n">
        <v>14.319878479678</v>
      </c>
      <c r="U28" s="11" t="n">
        <v>13.9484125589319</v>
      </c>
      <c r="V28" s="11" t="n">
        <v>13.6898865319666</v>
      </c>
      <c r="W28" s="11" t="n">
        <v>13.5903470722667</v>
      </c>
      <c r="X28" s="11" t="n">
        <v>13.5319011034865</v>
      </c>
      <c r="Y28" s="11" t="n">
        <v>13.7591024678466</v>
      </c>
      <c r="Z28" s="11" t="n">
        <v>13.7877731979964</v>
      </c>
      <c r="AA28" s="11" t="n">
        <v>13.6595715469706</v>
      </c>
      <c r="AB28" s="11" t="n">
        <v>13.7111904939868</v>
      </c>
      <c r="AC28" s="11" t="n">
        <v>14.2109240717554</v>
      </c>
      <c r="AD28" s="11" t="n">
        <v>14.1380536664966</v>
      </c>
      <c r="AE28" s="11" t="n">
        <v>13.813109346583</v>
      </c>
      <c r="AF28" s="11" t="n">
        <v>14.0170958536443</v>
      </c>
      <c r="AG28" s="11" t="n">
        <v>13.8566444133239</v>
      </c>
      <c r="AH28" s="11" t="n">
        <v>13.9485106648271</v>
      </c>
      <c r="AI28" s="11" t="n">
        <v>13.1569075442857</v>
      </c>
      <c r="AJ28" s="11" t="n">
        <v>13.478563412585</v>
      </c>
      <c r="AK28" s="11" t="n">
        <v>12.7290815643072</v>
      </c>
      <c r="AL28" s="11" t="n">
        <v>12.5191024192604</v>
      </c>
      <c r="AM28" s="11" t="n">
        <v>12.5045953938355</v>
      </c>
      <c r="AN28" s="11" t="n">
        <v>12.5098559697839</v>
      </c>
      <c r="AO28" s="11" t="n">
        <v>12.5217901091835</v>
      </c>
      <c r="AP28" s="11" t="n">
        <v>12.5376828555556</v>
      </c>
      <c r="AQ28" s="11" t="n">
        <v>12.5541577344059</v>
      </c>
      <c r="AR28" s="11" t="n">
        <v>12.5678684965442</v>
      </c>
      <c r="AS28" s="11" t="n">
        <v>12.5756416332501</v>
      </c>
      <c r="AT28" s="11" t="n">
        <v>12.5570215325553</v>
      </c>
      <c r="AU28" s="11" t="n">
        <v>12.5324913014387</v>
      </c>
      <c r="AV28" s="11" t="n">
        <v>12.5034970082266</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62.7871806981944</v>
      </c>
      <c r="BP28" s="11" t="n">
        <v>62.1470433189398</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78.187452747929</v>
      </c>
      <c r="AO29" s="11" t="n">
        <v>77.9500063282901</v>
      </c>
      <c r="AP29" s="11" t="n">
        <v>77.7428437364684</v>
      </c>
      <c r="AQ29" s="11" t="n">
        <v>77.4147709632096</v>
      </c>
      <c r="AR29" s="11" t="n">
        <v>77.4367343773966</v>
      </c>
      <c r="AS29" s="11" t="n">
        <v>77.231443725702</v>
      </c>
      <c r="AT29" s="11" t="n">
        <v>77.1748934153173</v>
      </c>
      <c r="AU29" s="11" t="n">
        <v>77.1139945998104</v>
      </c>
      <c r="AV29" s="11" t="n">
        <v>77.1074297151569</v>
      </c>
      <c r="AW29" s="11" t="n">
        <v>77.1225879237358</v>
      </c>
      <c r="AX29" s="11" t="n">
        <v>77.1950829262306</v>
      </c>
      <c r="AY29" s="11" t="n">
        <v>77.6476828485311</v>
      </c>
      <c r="AZ29" s="11" t="n">
        <v>77.784741691677</v>
      </c>
      <c r="BA29" s="11" t="n">
        <v>78.0114126486884</v>
      </c>
      <c r="BB29" s="11" t="n">
        <v>78.2486203160269</v>
      </c>
      <c r="BC29" s="11" t="n">
        <v>78.5263302914203</v>
      </c>
      <c r="BD29" s="11" t="n">
        <v>78.887962452191</v>
      </c>
      <c r="BE29" s="11" t="n">
        <v>79.0980783577627</v>
      </c>
      <c r="BF29" s="11" t="n">
        <v>79.232498039007</v>
      </c>
      <c r="BG29" s="11" t="n">
        <v>79.564267504487</v>
      </c>
      <c r="BH29" s="11" t="n">
        <v>79.5656619249967</v>
      </c>
      <c r="BI29" s="11" t="n">
        <v>79.6687467260586</v>
      </c>
      <c r="BJ29" s="11" t="n">
        <v>79.91201108105</v>
      </c>
      <c r="BK29" s="11" t="n">
        <v>79.9650360376194</v>
      </c>
      <c r="BL29" s="11" t="n">
        <v>79.9253247506787</v>
      </c>
      <c r="BM29" s="11" t="n">
        <v>79.8797083644948</v>
      </c>
      <c r="BN29" s="11" t="n">
        <v>381.43946902569</v>
      </c>
      <c r="BO29" s="11" t="n">
        <v>386.371837081436</v>
      </c>
      <c r="BP29" s="11" t="n">
        <v>386.857525105331</v>
      </c>
      <c r="BQ29" s="11" t="n">
        <v>392.772404066089</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1.09531900072004</v>
      </c>
      <c r="R30" s="11" t="n">
        <v>1.01289196739384</v>
      </c>
      <c r="S30" s="11" t="n">
        <v>0.982359313650173</v>
      </c>
      <c r="T30" s="11" t="n">
        <v>0.897591964388521</v>
      </c>
      <c r="U30" s="11" t="n">
        <v>0.885797108559107</v>
      </c>
      <c r="V30" s="11" t="n">
        <v>0.853573181482257</v>
      </c>
      <c r="W30" s="11" t="n">
        <v>0.856922320465814</v>
      </c>
      <c r="X30" s="11" t="n">
        <v>0.844171007110998</v>
      </c>
      <c r="Y30" s="11" t="n">
        <v>0.92583766013819</v>
      </c>
      <c r="Z30" s="11" t="n">
        <v>0.844657408227866</v>
      </c>
      <c r="AA30" s="11" t="n">
        <v>0.882667864449412</v>
      </c>
      <c r="AB30" s="11" t="n">
        <v>0.920044016490673</v>
      </c>
      <c r="AC30" s="11" t="n">
        <v>0.846274659293319</v>
      </c>
      <c r="AD30" s="11" t="n">
        <v>0.864442474526235</v>
      </c>
      <c r="AE30" s="11" t="n">
        <v>0.893480966819406</v>
      </c>
      <c r="AF30" s="11" t="n">
        <v>0.940209296392752</v>
      </c>
      <c r="AG30" s="11" t="n">
        <v>0.981255685027574</v>
      </c>
      <c r="AH30" s="11" t="n">
        <v>0.962549001103792</v>
      </c>
      <c r="AI30" s="11" t="n">
        <v>0.983714236014689</v>
      </c>
      <c r="AJ30" s="11" t="n">
        <v>1.04517930620611</v>
      </c>
      <c r="AK30" s="11" t="n">
        <v>0.991773864116739</v>
      </c>
      <c r="AL30" s="11" t="n">
        <v>0.941681052261805</v>
      </c>
      <c r="AM30" s="11" t="n">
        <v>0.982884053202977</v>
      </c>
      <c r="AN30" s="11" t="n">
        <v>0.99080513223569</v>
      </c>
      <c r="AO30" s="11" t="n">
        <v>0.992623324502786</v>
      </c>
      <c r="AP30" s="11" t="n">
        <v>0.999453858202252</v>
      </c>
      <c r="AQ30" s="11" t="n">
        <v>0.999441475200905</v>
      </c>
      <c r="AR30" s="11" t="n">
        <v>0.99334472422326</v>
      </c>
      <c r="AS30" s="11" t="n">
        <v>0.98031949587534</v>
      </c>
      <c r="AT30" s="11" t="n">
        <v>0.97322356106062</v>
      </c>
      <c r="AU30" s="11" t="n">
        <v>0.970249040388117</v>
      </c>
      <c r="AV30" s="11" t="n">
        <v>0.963063652565607</v>
      </c>
      <c r="AW30" s="11" t="n">
        <v>0.954557648043163</v>
      </c>
      <c r="AX30" s="11" t="n">
        <v>0.93446887607788</v>
      </c>
      <c r="AY30" s="11" t="n">
        <v>0.911796026642701</v>
      </c>
      <c r="AZ30" s="11" t="n">
        <v>0.88052856883674</v>
      </c>
      <c r="BA30" s="11" t="n">
        <v>0.866961412273404</v>
      </c>
      <c r="BB30" s="11" t="n">
        <v>0.853639442423931</v>
      </c>
      <c r="BC30" s="11" t="n">
        <v>0.841510571044167</v>
      </c>
      <c r="BD30" s="11" t="n">
        <v>0.82939714624391</v>
      </c>
      <c r="BE30" s="11" t="n">
        <v>0.81281515616571</v>
      </c>
      <c r="BF30" s="11" t="n">
        <v>0.804258220562409</v>
      </c>
      <c r="BG30" s="11" t="n">
        <v>0.794813222971353</v>
      </c>
      <c r="BH30" s="11" t="n">
        <v>0.778357183642548</v>
      </c>
      <c r="BI30" s="11" t="n">
        <v>0.760614542813818</v>
      </c>
      <c r="BJ30" s="11" t="n">
        <v>0.745000786750574</v>
      </c>
      <c r="BK30" s="11" t="n">
        <v>0.73484318325677</v>
      </c>
      <c r="BL30" s="11" t="n">
        <v>0.734512576751507</v>
      </c>
      <c r="BM30" s="11" t="n">
        <v>0.734377879017659</v>
      </c>
      <c r="BN30" s="11" t="n">
        <v>4.90744742040551</v>
      </c>
      <c r="BO30" s="11" t="n">
        <v>4.91657829674824</v>
      </c>
      <c r="BP30" s="11" t="n">
        <v>4.64441477216609</v>
      </c>
      <c r="BQ30" s="11" t="n">
        <v>4.20432372815112</v>
      </c>
    </row>
    <row r="31" customFormat="false" ht="13.8" hidden="false" customHeight="false" outlineLevel="0" collapsed="false">
      <c r="A31" s="11" t="s">
        <v>156</v>
      </c>
      <c r="B31" s="11" t="s">
        <v>145</v>
      </c>
      <c r="C31" s="11" t="s">
        <v>139</v>
      </c>
      <c r="D31" s="12"/>
      <c r="E31" s="11" t="n">
        <v>0.803846646059867</v>
      </c>
      <c r="F31" s="11" t="n">
        <v>0.82826751111269</v>
      </c>
      <c r="G31" s="11" t="n">
        <v>0.800673717239957</v>
      </c>
      <c r="H31" s="11" t="n">
        <v>0.81932303991727</v>
      </c>
      <c r="I31" s="11" t="n">
        <v>0.782881171566505</v>
      </c>
      <c r="J31" s="11" t="n">
        <v>0.733462075757155</v>
      </c>
      <c r="K31" s="11" t="n">
        <v>0.747304308394233</v>
      </c>
      <c r="L31" s="11" t="n">
        <v>0.727557422178596</v>
      </c>
      <c r="M31" s="11" t="n">
        <v>0.720071388943577</v>
      </c>
      <c r="N31" s="11" t="n">
        <v>0.723323631281291</v>
      </c>
      <c r="O31" s="11" t="n">
        <v>0.701128967996624</v>
      </c>
      <c r="P31" s="11" t="n">
        <v>0.702079099264855</v>
      </c>
      <c r="Q31" s="11" t="n">
        <v>0.676881243874794</v>
      </c>
      <c r="R31" s="11" t="n">
        <v>0.665624646656046</v>
      </c>
      <c r="S31" s="11" t="n">
        <v>0.667992520226125</v>
      </c>
      <c r="T31" s="11" t="n">
        <v>0.663368901986628</v>
      </c>
      <c r="U31" s="11" t="n">
        <v>0.666538925470497</v>
      </c>
      <c r="V31" s="11" t="n">
        <v>0.666283633552895</v>
      </c>
      <c r="W31" s="11" t="n">
        <v>0.674512136836212</v>
      </c>
      <c r="X31" s="11" t="n">
        <v>0.677989974403374</v>
      </c>
      <c r="Y31" s="11" t="n">
        <v>0.694687837107868</v>
      </c>
      <c r="Z31" s="11" t="n">
        <v>0.682594805284617</v>
      </c>
      <c r="AA31" s="11" t="n">
        <v>0.69304367834433</v>
      </c>
      <c r="AB31" s="11" t="n">
        <v>0.701293262661856</v>
      </c>
      <c r="AC31" s="11" t="n">
        <v>0.693481536121006</v>
      </c>
      <c r="AD31" s="11" t="n">
        <v>0.697701399181227</v>
      </c>
      <c r="AE31" s="11" t="n">
        <v>0.70690583633571</v>
      </c>
      <c r="AF31" s="11" t="n">
        <v>0.713481592450162</v>
      </c>
      <c r="AG31" s="11" t="n">
        <v>0.7253592451567</v>
      </c>
      <c r="AH31" s="11" t="n">
        <v>0.725080797967358</v>
      </c>
      <c r="AI31" s="11" t="n">
        <v>0.729496304148847</v>
      </c>
      <c r="AJ31" s="11" t="n">
        <v>0.73947432248103</v>
      </c>
      <c r="AK31" s="11" t="n">
        <v>0.732979969265163</v>
      </c>
      <c r="AL31" s="11" t="n">
        <v>0.729579335172371</v>
      </c>
      <c r="AM31" s="11" t="n">
        <v>0.743249110875358</v>
      </c>
      <c r="AN31" s="11" t="n">
        <v>0.749880990376204</v>
      </c>
      <c r="AO31" s="11" t="n">
        <v>0.754544491562877</v>
      </c>
      <c r="AP31" s="11" t="n">
        <v>0.759186387441694</v>
      </c>
      <c r="AQ31" s="11" t="n">
        <v>0.76207392611394</v>
      </c>
      <c r="AR31" s="11" t="n">
        <v>0.764084037512175</v>
      </c>
      <c r="AS31" s="11" t="n">
        <v>0.765013626719449</v>
      </c>
      <c r="AT31" s="11" t="n">
        <v>0.766687334237601</v>
      </c>
      <c r="AU31" s="11" t="n">
        <v>0.768842917646403</v>
      </c>
      <c r="AV31" s="11" t="n">
        <v>0.770449189346744</v>
      </c>
      <c r="AW31" s="11" t="n">
        <v>0.771830974877778</v>
      </c>
      <c r="AX31" s="11" t="n">
        <v>0.771565779001988</v>
      </c>
      <c r="AY31" s="11" t="n">
        <v>0.770893243039697</v>
      </c>
      <c r="AZ31" s="11" t="n">
        <v>0.768974846929287</v>
      </c>
      <c r="BA31" s="11" t="n">
        <v>0.769451587793423</v>
      </c>
      <c r="BB31" s="11" t="n">
        <v>0.769918686690486</v>
      </c>
      <c r="BC31" s="11" t="n">
        <v>0.770544836581877</v>
      </c>
      <c r="BD31" s="11" t="n">
        <v>0.771138181419231</v>
      </c>
      <c r="BE31" s="11" t="n">
        <v>0.771071617612036</v>
      </c>
      <c r="BF31" s="11" t="n">
        <v>0.772091878159047</v>
      </c>
      <c r="BG31" s="11" t="n">
        <v>0.772927671651109</v>
      </c>
      <c r="BH31" s="11" t="n">
        <v>0.772678394766651</v>
      </c>
      <c r="BI31" s="11" t="n">
        <v>0.772121196221836</v>
      </c>
      <c r="BJ31" s="11" t="n">
        <v>0.771784083119781</v>
      </c>
      <c r="BK31" s="11" t="n">
        <v>0.772139381762547</v>
      </c>
      <c r="BL31" s="11" t="n">
        <v>0.773793540038208</v>
      </c>
      <c r="BM31" s="11" t="n">
        <v>0.775400355864021</v>
      </c>
      <c r="BN31" s="11" t="n">
        <v>3.7364403154285</v>
      </c>
      <c r="BO31" s="11" t="n">
        <v>3.82670184222957</v>
      </c>
      <c r="BP31" s="11" t="n">
        <v>3.85371403319549</v>
      </c>
      <c r="BQ31" s="11" t="n">
        <v>3.85212491009705</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114.080863679983</v>
      </c>
      <c r="AO32" s="11" t="n">
        <v>111.336371896932</v>
      </c>
      <c r="AP32" s="11" t="n">
        <v>108.388637749115</v>
      </c>
      <c r="AQ32" s="11" t="n">
        <v>104.115063239555</v>
      </c>
      <c r="AR32" s="11" t="n">
        <v>99.0001166775231</v>
      </c>
      <c r="AS32" s="11" t="n">
        <v>92.8721095296581</v>
      </c>
      <c r="AT32" s="11" t="n">
        <v>87.2472777840093</v>
      </c>
      <c r="AU32" s="11" t="n">
        <v>82.0407885649043</v>
      </c>
      <c r="AV32" s="11" t="n">
        <v>77.5437778245281</v>
      </c>
      <c r="AW32" s="11" t="n">
        <v>73.5313863106086</v>
      </c>
      <c r="AX32" s="11" t="n">
        <v>70.0260050688663</v>
      </c>
      <c r="AY32" s="11" t="n">
        <v>66.8476106205865</v>
      </c>
      <c r="AZ32" s="11" t="n">
        <v>63.9913415844877</v>
      </c>
      <c r="BA32" s="11" t="n">
        <v>61.4664618844023</v>
      </c>
      <c r="BB32" s="11" t="n">
        <v>59.2943784517544</v>
      </c>
      <c r="BC32" s="11" t="n">
        <v>57.3107363075031</v>
      </c>
      <c r="BD32" s="11" t="n">
        <v>55.6593772891159</v>
      </c>
      <c r="BE32" s="11" t="n">
        <v>54.2045723213708</v>
      </c>
      <c r="BF32" s="11" t="n">
        <v>53.0586087090545</v>
      </c>
      <c r="BG32" s="11" t="n">
        <v>52.055674840695</v>
      </c>
      <c r="BH32" s="11" t="n">
        <v>51.2046314271921</v>
      </c>
      <c r="BI32" s="11" t="n">
        <v>50.5476591706732</v>
      </c>
      <c r="BJ32" s="11" t="n">
        <v>49.9808795513403</v>
      </c>
      <c r="BK32" s="11" t="n">
        <v>49.6513490299939</v>
      </c>
      <c r="BL32" s="11" t="n">
        <v>49.3219970699507</v>
      </c>
      <c r="BM32" s="11" t="n">
        <v>49.0634738397957</v>
      </c>
      <c r="BN32" s="11" t="n">
        <v>553.038394835975</v>
      </c>
      <c r="BO32" s="11" t="n">
        <v>465.27535579565</v>
      </c>
      <c r="BP32" s="11" t="n">
        <v>351.940121409077</v>
      </c>
      <c r="BQ32" s="11" t="n">
        <v>287.935526254147</v>
      </c>
    </row>
    <row r="33" customFormat="false" ht="13.8" hidden="false" customHeight="false" outlineLevel="0" collapsed="false">
      <c r="A33" s="11" t="s">
        <v>155</v>
      </c>
      <c r="B33" s="11" t="s">
        <v>146</v>
      </c>
      <c r="C33" s="11" t="s">
        <v>139</v>
      </c>
      <c r="D33" s="12"/>
      <c r="E33" s="11" t="n">
        <v>1.27297720515135</v>
      </c>
      <c r="F33" s="11" t="n">
        <v>1.25061064970842</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0.553564609166542</v>
      </c>
      <c r="R33" s="11" t="n">
        <v>0.490426598642273</v>
      </c>
      <c r="S33" s="11" t="n">
        <v>0.442652781387932</v>
      </c>
      <c r="T33" s="11" t="n">
        <v>0.405383013533054</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0.0747884074140275</v>
      </c>
      <c r="AJ33" s="11" t="n">
        <v>0.0810221488085114</v>
      </c>
      <c r="AK33" s="11" t="n">
        <v>0.0850575444875325</v>
      </c>
      <c r="AL33" s="11" t="n">
        <v>0.0856761920612092</v>
      </c>
      <c r="AM33" s="11" t="n">
        <v>0.0916319440299271</v>
      </c>
      <c r="AN33" s="11" t="n">
        <v>0.0909217827303403</v>
      </c>
      <c r="AO33" s="11" t="n">
        <v>0.0887842092101223</v>
      </c>
      <c r="AP33" s="11" t="n">
        <v>0.087420592819318</v>
      </c>
      <c r="AQ33" s="11" t="n">
        <v>0.0851256715166789</v>
      </c>
      <c r="AR33" s="11" t="n">
        <v>0.0818524064943757</v>
      </c>
      <c r="AS33" s="11" t="n">
        <v>0.0774992849513038</v>
      </c>
      <c r="AT33" s="11" t="n">
        <v>0.0735861299024111</v>
      </c>
      <c r="AU33" s="11" t="n">
        <v>0.0698399119472463</v>
      </c>
      <c r="AV33" s="11" t="n">
        <v>0.0662771964785813</v>
      </c>
      <c r="AW33" s="11" t="n">
        <v>0.0630099982073769</v>
      </c>
      <c r="AX33" s="11" t="n">
        <v>0.0600152051912518</v>
      </c>
      <c r="AY33" s="11" t="n">
        <v>0.0572451705051194</v>
      </c>
      <c r="AZ33" s="11" t="n">
        <v>0.0547459242141848</v>
      </c>
      <c r="BA33" s="11" t="n">
        <v>0.052504695893635</v>
      </c>
      <c r="BB33" s="11" t="n">
        <v>0.0504407502252322</v>
      </c>
      <c r="BC33" s="11" t="n">
        <v>0.0486241645346054</v>
      </c>
      <c r="BD33" s="11" t="n">
        <v>0.0469414542475856</v>
      </c>
      <c r="BE33" s="11" t="n">
        <v>0.0455899136763954</v>
      </c>
      <c r="BF33" s="11" t="n">
        <v>0.0444078648804305</v>
      </c>
      <c r="BG33" s="11" t="n">
        <v>0.0434457880445697</v>
      </c>
      <c r="BH33" s="11" t="n">
        <v>0.0427220977945153</v>
      </c>
      <c r="BI33" s="11" t="n">
        <v>0.0421881206021258</v>
      </c>
      <c r="BJ33" s="11" t="n">
        <v>0.0417235753429197</v>
      </c>
      <c r="BK33" s="11" t="n">
        <v>0.0413881166836883</v>
      </c>
      <c r="BL33" s="11" t="n">
        <v>0.0411596515024323</v>
      </c>
      <c r="BM33" s="11" t="n">
        <v>0.0410012940919093</v>
      </c>
      <c r="BN33" s="11" t="n">
        <v>0.444434720850917</v>
      </c>
      <c r="BO33" s="11" t="n">
        <v>0.387903404812016</v>
      </c>
      <c r="BP33" s="11" t="n">
        <v>0.301293494596514</v>
      </c>
      <c r="BQ33" s="11" t="n">
        <v>0.244100978577454</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0.890620745807166</v>
      </c>
      <c r="X34" s="11" t="n">
        <v>0.844914398363468</v>
      </c>
      <c r="Y34" s="11" t="n">
        <v>0.849296904955032</v>
      </c>
      <c r="Z34" s="11" t="n">
        <v>0.862456549136757</v>
      </c>
      <c r="AA34" s="11" t="n">
        <v>0.877239206896131</v>
      </c>
      <c r="AB34" s="11" t="n">
        <v>0.894622354167945</v>
      </c>
      <c r="AC34" s="11" t="n">
        <v>0.934204816450957</v>
      </c>
      <c r="AD34" s="11" t="n">
        <v>0.949799549113104</v>
      </c>
      <c r="AE34" s="11" t="n">
        <v>0.987987362907361</v>
      </c>
      <c r="AF34" s="11" t="n">
        <v>1.00785908615541</v>
      </c>
      <c r="AG34" s="11" t="n">
        <v>1.01707539544984</v>
      </c>
      <c r="AH34" s="11" t="n">
        <v>0.991684737617365</v>
      </c>
      <c r="AI34" s="11" t="n">
        <v>0.871004562768477</v>
      </c>
      <c r="AJ34" s="11" t="n">
        <v>0.922070495488821</v>
      </c>
      <c r="AK34" s="11" t="n">
        <v>0.917810058079545</v>
      </c>
      <c r="AL34" s="11" t="n">
        <v>0.895428540077311</v>
      </c>
      <c r="AM34" s="11" t="n">
        <v>0.962369082226078</v>
      </c>
      <c r="AN34" s="11" t="n">
        <v>0.95786369188556</v>
      </c>
      <c r="AO34" s="11" t="n">
        <v>0.940650820060079</v>
      </c>
      <c r="AP34" s="11" t="n">
        <v>0.921570784413182</v>
      </c>
      <c r="AQ34" s="11" t="n">
        <v>0.897843672333401</v>
      </c>
      <c r="AR34" s="11" t="n">
        <v>0.869491933650172</v>
      </c>
      <c r="AS34" s="11" t="n">
        <v>0.83786957293044</v>
      </c>
      <c r="AT34" s="11" t="n">
        <v>0.81025834508956</v>
      </c>
      <c r="AU34" s="11" t="n">
        <v>0.785267163383232</v>
      </c>
      <c r="AV34" s="11" t="n">
        <v>0.762943035281686</v>
      </c>
      <c r="AW34" s="11" t="n">
        <v>0.744410741645247</v>
      </c>
      <c r="AX34" s="11" t="n">
        <v>0.729205940391074</v>
      </c>
      <c r="AY34" s="11" t="n">
        <v>0.716558688772612</v>
      </c>
      <c r="AZ34" s="11" t="n">
        <v>0.7059381310408</v>
      </c>
      <c r="BA34" s="11" t="n">
        <v>0.697596618407828</v>
      </c>
      <c r="BB34" s="11" t="n">
        <v>0.691107090055717</v>
      </c>
      <c r="BC34" s="11" t="n">
        <v>0.685959456952279</v>
      </c>
      <c r="BD34" s="11" t="n">
        <v>0.680476971121131</v>
      </c>
      <c r="BE34" s="11" t="n">
        <v>0.676580738691277</v>
      </c>
      <c r="BF34" s="11" t="n">
        <v>0.673482466236612</v>
      </c>
      <c r="BG34" s="11" t="n">
        <v>0.671615244097823</v>
      </c>
      <c r="BH34" s="11" t="n">
        <v>0.670603688725513</v>
      </c>
      <c r="BI34" s="11" t="n">
        <v>0.670398676514809</v>
      </c>
      <c r="BJ34" s="11" t="n">
        <v>0.670366128320408</v>
      </c>
      <c r="BK34" s="11" t="n">
        <v>0.671255785945946</v>
      </c>
      <c r="BL34" s="11" t="n">
        <v>0.672943877409662</v>
      </c>
      <c r="BM34" s="11" t="n">
        <v>0.674357377996643</v>
      </c>
      <c r="BN34" s="11" t="n">
        <v>4.67788291866221</v>
      </c>
      <c r="BO34" s="11" t="n">
        <v>4.20073068738681</v>
      </c>
      <c r="BP34" s="11" t="n">
        <v>3.65905653713142</v>
      </c>
      <c r="BQ34" s="11" t="n">
        <v>3.43172087522823</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7.05228750474408</v>
      </c>
      <c r="Q35" s="11" t="n">
        <v>7.4688138300499</v>
      </c>
      <c r="R35" s="11" t="n">
        <v>8.25870624154292</v>
      </c>
      <c r="S35" s="11" t="n">
        <v>7.36937772653388</v>
      </c>
      <c r="T35" s="11" t="n">
        <v>8.09555591302204</v>
      </c>
      <c r="U35" s="11" t="n">
        <v>8.88703175483168</v>
      </c>
      <c r="V35" s="11" t="n">
        <v>9.24213661121652</v>
      </c>
      <c r="W35" s="11" t="n">
        <v>9.58107153266835</v>
      </c>
      <c r="X35" s="11" t="n">
        <v>10.0020094196355</v>
      </c>
      <c r="Y35" s="11" t="n">
        <v>10.4979550302191</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4.09884472060176</v>
      </c>
      <c r="AU35" s="11" t="n">
        <v>3.89091088317771</v>
      </c>
      <c r="AV35" s="11" t="n">
        <v>3.70734813175857</v>
      </c>
      <c r="AW35" s="11" t="n">
        <v>3.53638632023551</v>
      </c>
      <c r="AX35" s="11" t="n">
        <v>3.38044042697567</v>
      </c>
      <c r="AY35" s="11" t="n">
        <v>3.24624656805012</v>
      </c>
      <c r="AZ35" s="11" t="n">
        <v>3.14013667374679</v>
      </c>
      <c r="BA35" s="11" t="n">
        <v>3.06190005083168</v>
      </c>
      <c r="BB35" s="11" t="n">
        <v>3.0277117596006</v>
      </c>
      <c r="BC35" s="11" t="n">
        <v>3.01583177269943</v>
      </c>
      <c r="BD35" s="11" t="n">
        <v>3.01833912244435</v>
      </c>
      <c r="BE35" s="11" t="n">
        <v>3.03328730057938</v>
      </c>
      <c r="BF35" s="11" t="n">
        <v>3.05775648539494</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1.48366130882975</v>
      </c>
      <c r="F36" s="11" t="n">
        <v>1.24305334298279</v>
      </c>
      <c r="G36" s="11" t="n">
        <v>0.617640551647897</v>
      </c>
      <c r="H36" s="11" t="n">
        <v>0.538700846476154</v>
      </c>
      <c r="I36" s="11" t="n">
        <v>0.546409279966551</v>
      </c>
      <c r="J36" s="11" t="n">
        <v>0.533270281772292</v>
      </c>
      <c r="K36" s="11" t="n">
        <v>0.531928867885412</v>
      </c>
      <c r="L36" s="11" t="n">
        <v>0.44692564402011</v>
      </c>
      <c r="M36" s="11" t="n">
        <v>0.43528910732139</v>
      </c>
      <c r="N36" s="11" t="n">
        <v>0.412312802276656</v>
      </c>
      <c r="O36" s="11" t="n">
        <v>0.51862161306472</v>
      </c>
      <c r="P36" s="11" t="n">
        <v>0.432138729457178</v>
      </c>
      <c r="Q36" s="11" t="n">
        <v>0.364067786446408</v>
      </c>
      <c r="R36" s="11" t="n">
        <v>0.318513971049458</v>
      </c>
      <c r="S36" s="11" t="n">
        <v>0.402942811428176</v>
      </c>
      <c r="T36" s="11" t="n">
        <v>0.368307653921605</v>
      </c>
      <c r="U36" s="11" t="n">
        <v>0.369821205860997</v>
      </c>
      <c r="V36" s="11" t="n">
        <v>0.277694286963564</v>
      </c>
      <c r="W36" s="11" t="n">
        <v>0.255311612882481</v>
      </c>
      <c r="X36" s="11" t="n">
        <v>0.195240026958578</v>
      </c>
      <c r="Y36" s="11" t="n">
        <v>0.281496039558142</v>
      </c>
      <c r="Z36" s="11" t="n">
        <v>0.399303588048535</v>
      </c>
      <c r="AA36" s="11" t="n">
        <v>0.243138181819986</v>
      </c>
      <c r="AB36" s="11" t="n">
        <v>0.294217429839836</v>
      </c>
      <c r="AC36" s="11" t="n">
        <v>0.23782779605641</v>
      </c>
      <c r="AD36" s="11" t="n">
        <v>0.274427975434271</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0.145322964863699</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0.788373788456026</v>
      </c>
      <c r="BP36" s="11" t="n">
        <v>0.788373788456026</v>
      </c>
      <c r="BQ36" s="11" t="n">
        <v>0.788373788456026</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0.426418736992623</v>
      </c>
      <c r="AE37" s="11" t="n">
        <v>0.458386532676318</v>
      </c>
      <c r="AF37" s="11" t="n">
        <v>0.460093295564997</v>
      </c>
      <c r="AG37" s="11" t="n">
        <v>0.565037427403676</v>
      </c>
      <c r="AH37" s="11" t="n">
        <v>0.49719676355469</v>
      </c>
      <c r="AI37" s="11" t="n">
        <v>0.425406162786779</v>
      </c>
      <c r="AJ37" s="11" t="n">
        <v>0.38749956929647</v>
      </c>
      <c r="AK37" s="11" t="n">
        <v>0.333442729385777</v>
      </c>
      <c r="AL37" s="11" t="n">
        <v>0.301791676439176</v>
      </c>
      <c r="AM37" s="11" t="n">
        <v>0.307854862676676</v>
      </c>
      <c r="AN37" s="11" t="n">
        <v>0.314290204270113</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0.372815184884234</v>
      </c>
      <c r="AW37" s="11" t="n">
        <v>0.380977508595361</v>
      </c>
      <c r="AX37" s="11" t="n">
        <v>0.389343890399265</v>
      </c>
      <c r="AY37" s="11" t="n">
        <v>0.389343890399265</v>
      </c>
      <c r="AZ37" s="11" t="n">
        <v>0.389343890399265</v>
      </c>
      <c r="BA37" s="11" t="n">
        <v>0.389343890399265</v>
      </c>
      <c r="BB37" s="11" t="n">
        <v>0.389343890399265</v>
      </c>
      <c r="BC37" s="11" t="n">
        <v>0.389343890399265</v>
      </c>
      <c r="BD37" s="11" t="n">
        <v>0.389343890399265</v>
      </c>
      <c r="BE37" s="11" t="n">
        <v>0.389343890399265</v>
      </c>
      <c r="BF37" s="11" t="n">
        <v>0.389343890399265</v>
      </c>
      <c r="BG37" s="11" t="n">
        <v>0.389343890399265</v>
      </c>
      <c r="BH37" s="11" t="n">
        <v>0.389343890399265</v>
      </c>
      <c r="BI37" s="11" t="n">
        <v>0.389343890399265</v>
      </c>
      <c r="BJ37" s="11" t="n">
        <v>0.389343890399265</v>
      </c>
      <c r="BK37" s="11" t="n">
        <v>0.389343890399265</v>
      </c>
      <c r="BL37" s="11" t="n">
        <v>0.389343890399265</v>
      </c>
      <c r="BM37" s="11" t="n">
        <v>0.389343890399265</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27.8666115887723</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9.76119296086783</v>
      </c>
      <c r="AB40" s="11" t="n">
        <v>8.41545417361807</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4.60818214072732</v>
      </c>
      <c r="AO40" s="11" t="n">
        <v>4.5132521960876</v>
      </c>
      <c r="AP40" s="11" t="n">
        <v>4.42836300944687</v>
      </c>
      <c r="AQ40" s="11" t="n">
        <v>4.33504168505131</v>
      </c>
      <c r="AR40" s="11" t="n">
        <v>4.26727728121634</v>
      </c>
      <c r="AS40" s="11" t="n">
        <v>4.16180573872328</v>
      </c>
      <c r="AT40" s="11" t="n">
        <v>4.08390957229324</v>
      </c>
      <c r="AU40" s="11" t="n">
        <v>4.00203366706833</v>
      </c>
      <c r="AV40" s="11" t="n">
        <v>3.92099521007891</v>
      </c>
      <c r="AW40" s="11" t="n">
        <v>3.91122422094175</v>
      </c>
      <c r="AX40" s="11" t="n">
        <v>3.90329085770919</v>
      </c>
      <c r="AY40" s="11" t="n">
        <v>3.8448159990596</v>
      </c>
      <c r="AZ40" s="11" t="n">
        <v>3.79761618399073</v>
      </c>
      <c r="BA40" s="11" t="n">
        <v>3.7940001556543</v>
      </c>
      <c r="BB40" s="11" t="n">
        <v>3.77597297323313</v>
      </c>
      <c r="BC40" s="11" t="n">
        <v>3.76885608006967</v>
      </c>
      <c r="BD40" s="11" t="n">
        <v>3.70815559022755</v>
      </c>
      <c r="BE40" s="11" t="n">
        <v>3.67002933667307</v>
      </c>
      <c r="BF40" s="11" t="n">
        <v>3.66231179000807</v>
      </c>
      <c r="BG40" s="11" t="n">
        <v>3.65876258264709</v>
      </c>
      <c r="BH40" s="11" t="n">
        <v>3.65457278838885</v>
      </c>
      <c r="BI40" s="11" t="n">
        <v>3.65168890395994</v>
      </c>
      <c r="BJ40" s="11" t="n">
        <v>3.63997932012984</v>
      </c>
      <c r="BK40" s="11" t="n">
        <v>3.6269063700753</v>
      </c>
      <c r="BL40" s="11" t="n">
        <v>3.6133829917701</v>
      </c>
      <c r="BM40" s="11" t="n">
        <v>3.60672947880086</v>
      </c>
      <c r="BN40" s="11" t="n">
        <v>22.9543136845005</v>
      </c>
      <c r="BO40" s="11" t="n">
        <v>20.8500679443525</v>
      </c>
      <c r="BP40" s="11" t="n">
        <v>19.3779424717802</v>
      </c>
      <c r="BQ40" s="11" t="n">
        <v>18.7170141358577</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0.442894292416788</v>
      </c>
      <c r="O41" s="11" t="n">
        <v>0.440832972272152</v>
      </c>
      <c r="P41" s="11" t="n">
        <v>0.46202476197879</v>
      </c>
      <c r="Q41" s="11" t="n">
        <v>0.491979479550147</v>
      </c>
      <c r="R41" s="11" t="n">
        <v>0.432768472682193</v>
      </c>
      <c r="S41" s="11" t="n">
        <v>0.421690806993512</v>
      </c>
      <c r="T41" s="11" t="n">
        <v>0.412567690229287</v>
      </c>
      <c r="U41" s="11" t="n">
        <v>0.382106826564727</v>
      </c>
      <c r="V41" s="11" t="n">
        <v>0.370533797808131</v>
      </c>
      <c r="W41" s="11" t="n">
        <v>0.362480367766961</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0.259826594914701</v>
      </c>
      <c r="AQ41" s="11" t="n">
        <v>0.252551758120265</v>
      </c>
      <c r="AR41" s="11" t="n">
        <v>0.242641902370847</v>
      </c>
      <c r="AS41" s="11" t="n">
        <v>0.233218003086929</v>
      </c>
      <c r="AT41" s="11" t="n">
        <v>0.22053906038247</v>
      </c>
      <c r="AU41" s="11" t="n">
        <v>0.203643509593306</v>
      </c>
      <c r="AV41" s="11" t="n">
        <v>0.186312550598975</v>
      </c>
      <c r="AW41" s="11" t="n">
        <v>0.184860008589182</v>
      </c>
      <c r="AX41" s="11" t="n">
        <v>0.182500573003159</v>
      </c>
      <c r="AY41" s="11" t="n">
        <v>0.162360845078634</v>
      </c>
      <c r="AZ41" s="11" t="n">
        <v>0.0674546792871321</v>
      </c>
      <c r="BA41" s="11" t="n">
        <v>0.0673403531980414</v>
      </c>
      <c r="BB41" s="11" t="n">
        <v>0.058502968309159</v>
      </c>
      <c r="BC41" s="11" t="n">
        <v>0.0581678143369751</v>
      </c>
      <c r="BD41" s="11" t="n">
        <v>0.0373879612676024</v>
      </c>
      <c r="BE41" s="11" t="n">
        <v>0.0277102342592243</v>
      </c>
      <c r="BF41" s="11" t="n">
        <v>0.0277097774370079</v>
      </c>
      <c r="BG41" s="11" t="n">
        <v>0.0276567516994801</v>
      </c>
      <c r="BH41" s="11" t="n">
        <v>0.0240764958787409</v>
      </c>
      <c r="BI41" s="11" t="n">
        <v>0.0242330378964321</v>
      </c>
      <c r="BJ41" s="11" t="n">
        <v>0.0232321758114532</v>
      </c>
      <c r="BK41" s="11" t="n">
        <v>0.0174688939437664</v>
      </c>
      <c r="BL41" s="11" t="n">
        <v>0.0128977331393986</v>
      </c>
      <c r="BM41" s="11" t="n">
        <v>0.0103055391778412</v>
      </c>
      <c r="BN41" s="11" t="n">
        <v>1.3333713882988</v>
      </c>
      <c r="BO41" s="11" t="n">
        <v>1.15259423355382</v>
      </c>
      <c r="BP41" s="11" t="n">
        <v>0.783488656557082</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53.8265487822321</v>
      </c>
      <c r="AN42" s="11" t="n">
        <v>51.8489549759408</v>
      </c>
      <c r="AO42" s="11" t="n">
        <v>50.9785409080751</v>
      </c>
      <c r="AP42" s="11" t="n">
        <v>50.7900524791761</v>
      </c>
      <c r="AQ42" s="11" t="n">
        <v>50.4417945519579</v>
      </c>
      <c r="AR42" s="11" t="n">
        <v>50.1129720901068</v>
      </c>
      <c r="AS42" s="11" t="n">
        <v>49.7013959921188</v>
      </c>
      <c r="AT42" s="11" t="n">
        <v>49.4659142497529</v>
      </c>
      <c r="AU42" s="11" t="n">
        <v>49.40216635423</v>
      </c>
      <c r="AV42" s="11" t="n">
        <v>49.3055790418468</v>
      </c>
      <c r="AW42" s="11" t="n">
        <v>48.9370272753058</v>
      </c>
      <c r="AX42" s="11" t="n">
        <v>48.7984234224011</v>
      </c>
      <c r="AY42" s="11" t="n">
        <v>48.662534790279</v>
      </c>
      <c r="AZ42" s="11" t="n">
        <v>48.8010278546079</v>
      </c>
      <c r="BA42" s="11" t="n">
        <v>48.861277176798</v>
      </c>
      <c r="BB42" s="11" t="n">
        <v>49.0099307120358</v>
      </c>
      <c r="BC42" s="11" t="n">
        <v>49.5142706528344</v>
      </c>
      <c r="BD42" s="11" t="n">
        <v>50.2702590369357</v>
      </c>
      <c r="BE42" s="11" t="n">
        <v>50.6078873662627</v>
      </c>
      <c r="BF42" s="11" t="n">
        <v>50.9731177570837</v>
      </c>
      <c r="BG42" s="11" t="n">
        <v>51.2830204700667</v>
      </c>
      <c r="BH42" s="11" t="n">
        <v>51.7132840657127</v>
      </c>
      <c r="BI42" s="11" t="n">
        <v>52.256666725106</v>
      </c>
      <c r="BJ42" s="11" t="n">
        <v>52.6624391362192</v>
      </c>
      <c r="BK42" s="11" t="n">
        <v>53.1584652020052</v>
      </c>
      <c r="BL42" s="11" t="n">
        <v>53.627552663844</v>
      </c>
      <c r="BM42" s="11" t="n">
        <v>54.1237392630798</v>
      </c>
      <c r="BN42" s="11" t="n">
        <v>270.909603641023</v>
      </c>
      <c r="BO42" s="11" t="n">
        <v>249.124243238166</v>
      </c>
      <c r="BP42" s="11" t="n">
        <v>244.504592384441</v>
      </c>
      <c r="BQ42" s="11" t="n">
        <v>248.263624944867</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0.131857151900525</v>
      </c>
      <c r="AN43" s="11" t="n">
        <v>0.129639301148545</v>
      </c>
      <c r="AO43" s="11" t="n">
        <v>0.129428716122676</v>
      </c>
      <c r="AP43" s="11" t="n">
        <v>0.129109241182913</v>
      </c>
      <c r="AQ43" s="11" t="n">
        <v>0.129682575615623</v>
      </c>
      <c r="AR43" s="11" t="n">
        <v>0.129612737240958</v>
      </c>
      <c r="AS43" s="11" t="n">
        <v>0.129427910878992</v>
      </c>
      <c r="AT43" s="11" t="n">
        <v>0.129862995785958</v>
      </c>
      <c r="AU43" s="11" t="n">
        <v>0.129825925868178</v>
      </c>
      <c r="AV43" s="11" t="n">
        <v>0.129107316062948</v>
      </c>
      <c r="AW43" s="11" t="n">
        <v>0.127362774854032</v>
      </c>
      <c r="AX43" s="11" t="n">
        <v>0.124130993637263</v>
      </c>
      <c r="AY43" s="11" t="n">
        <v>0.120895039115999</v>
      </c>
      <c r="AZ43" s="11" t="n">
        <v>0.116036681899329</v>
      </c>
      <c r="BA43" s="11" t="n">
        <v>0.113105163245547</v>
      </c>
      <c r="BB43" s="11" t="n">
        <v>0.112290806922697</v>
      </c>
      <c r="BC43" s="11" t="n">
        <v>0.113016866141317</v>
      </c>
      <c r="BD43" s="11" t="n">
        <v>0.113536656682128</v>
      </c>
      <c r="BE43" s="11" t="n">
        <v>0.113615830618371</v>
      </c>
      <c r="BF43" s="11" t="n">
        <v>0.114927731165122</v>
      </c>
      <c r="BG43" s="11" t="n">
        <v>0.116263907962655</v>
      </c>
      <c r="BH43" s="11" t="n">
        <v>0.117473970310834</v>
      </c>
      <c r="BI43" s="11" t="n">
        <v>0.118555177209446</v>
      </c>
      <c r="BJ43" s="11" t="n">
        <v>0.119620684864426</v>
      </c>
      <c r="BK43" s="11" t="n">
        <v>0.120863795374147</v>
      </c>
      <c r="BL43" s="11" t="n">
        <v>0.12237052826241</v>
      </c>
      <c r="BM43" s="11" t="n">
        <v>0.123918604522743</v>
      </c>
      <c r="BN43" s="11" t="n">
        <v>0.664217403007071</v>
      </c>
      <c r="BO43" s="11" t="n">
        <v>0.648412145389708</v>
      </c>
      <c r="BP43" s="11" t="n">
        <v>0.617532805569571</v>
      </c>
      <c r="BQ43" s="11" t="n">
        <v>0.565565323610059</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5.07364558948497</v>
      </c>
      <c r="P44" s="11" t="n">
        <v>4.45325880525414</v>
      </c>
      <c r="Q44" s="11" t="n">
        <v>3.01842197338898</v>
      </c>
      <c r="R44" s="11" t="n">
        <v>2.81505100334472</v>
      </c>
      <c r="S44" s="11" t="n">
        <v>3.63996062651573</v>
      </c>
      <c r="T44" s="11" t="n">
        <v>3.0442791940789</v>
      </c>
      <c r="U44" s="11" t="n">
        <v>2.54557292799599</v>
      </c>
      <c r="V44" s="11" t="n">
        <v>2.90942202484568</v>
      </c>
      <c r="W44" s="11" t="n">
        <v>2.72152512967184</v>
      </c>
      <c r="X44" s="11" t="n">
        <v>1.44743896649675</v>
      </c>
      <c r="Y44" s="11" t="n">
        <v>1.57729522759961</v>
      </c>
      <c r="Z44" s="11" t="n">
        <v>0.759835128682743</v>
      </c>
      <c r="AA44" s="11" t="n">
        <v>0.689927058145182</v>
      </c>
      <c r="AB44" s="11" t="n">
        <v>0.671846126192616</v>
      </c>
      <c r="AC44" s="11" t="n">
        <v>0.710807215554163</v>
      </c>
      <c r="AD44" s="11" t="n">
        <v>0.675534461273334</v>
      </c>
      <c r="AE44" s="11" t="n">
        <v>0.644171223541193</v>
      </c>
      <c r="AF44" s="11" t="n">
        <v>0.655595617940846</v>
      </c>
      <c r="AG44" s="11" t="n">
        <v>0.671057262333067</v>
      </c>
      <c r="AH44" s="11" t="n">
        <v>0.665186983520861</v>
      </c>
      <c r="AI44" s="11" t="n">
        <v>0.562024686597679</v>
      </c>
      <c r="AJ44" s="11" t="n">
        <v>0.532178473754611</v>
      </c>
      <c r="AK44" s="11" t="n">
        <v>0.466551853454806</v>
      </c>
      <c r="AL44" s="11" t="n">
        <v>0.477826020714757</v>
      </c>
      <c r="AM44" s="11" t="n">
        <v>0.505082913383914</v>
      </c>
      <c r="AN44" s="11" t="n">
        <v>0.504759498843696</v>
      </c>
      <c r="AO44" s="11" t="n">
        <v>0.505153972854167</v>
      </c>
      <c r="AP44" s="11" t="n">
        <v>0.505578528457059</v>
      </c>
      <c r="AQ44" s="11" t="n">
        <v>0.506718696897619</v>
      </c>
      <c r="AR44" s="11" t="n">
        <v>0.508346391278843</v>
      </c>
      <c r="AS44" s="11" t="n">
        <v>0.510431722630637</v>
      </c>
      <c r="AT44" s="11" t="n">
        <v>0.511840884900861</v>
      </c>
      <c r="AU44" s="11" t="n">
        <v>0.512611824566187</v>
      </c>
      <c r="AV44" s="11" t="n">
        <v>0.512543667638026</v>
      </c>
      <c r="AW44" s="11" t="n">
        <v>0.511764717820638</v>
      </c>
      <c r="AX44" s="11" t="n">
        <v>0.509200311105643</v>
      </c>
      <c r="AY44" s="11" t="n">
        <v>0.506055679139779</v>
      </c>
      <c r="AZ44" s="11" t="n">
        <v>0.502078498432514</v>
      </c>
      <c r="BA44" s="11" t="n">
        <v>0.501365991741684</v>
      </c>
      <c r="BB44" s="11" t="n">
        <v>0.503760509171237</v>
      </c>
      <c r="BC44" s="11" t="n">
        <v>0.50680286464095</v>
      </c>
      <c r="BD44" s="11" t="n">
        <v>0.509777158758533</v>
      </c>
      <c r="BE44" s="11" t="n">
        <v>0.512113524817701</v>
      </c>
      <c r="BF44" s="11" t="n">
        <v>0.516022325424466</v>
      </c>
      <c r="BG44" s="11" t="n">
        <v>0.519976429807067</v>
      </c>
      <c r="BH44" s="11" t="n">
        <v>0.523766249457811</v>
      </c>
      <c r="BI44" s="11" t="n">
        <v>0.527918933276791</v>
      </c>
      <c r="BJ44" s="11" t="n">
        <v>0.532063528893926</v>
      </c>
      <c r="BK44" s="11" t="n">
        <v>0.53644578412707</v>
      </c>
      <c r="BL44" s="11" t="n">
        <v>0.541171666354711</v>
      </c>
      <c r="BM44" s="11" t="n">
        <v>0.545957778716516</v>
      </c>
      <c r="BN44" s="11" t="n">
        <v>2.49840093425359</v>
      </c>
      <c r="BO44" s="11" t="n">
        <v>2.54994952027415</v>
      </c>
      <c r="BP44" s="11" t="n">
        <v>2.5416428741366</v>
      </c>
      <c r="BQ44" s="11" t="n">
        <v>2.5338200491301</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5.55186504357902</v>
      </c>
      <c r="H46" s="11" t="n">
        <v>5.54746647872344</v>
      </c>
      <c r="I46" s="11" t="n">
        <v>5.53902951394119</v>
      </c>
      <c r="J46" s="11" t="n">
        <v>5.54965155198649</v>
      </c>
      <c r="K46" s="11" t="n">
        <v>5.53405930164697</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5.57797283010562</v>
      </c>
      <c r="X46" s="11" t="n">
        <v>5.57878522339053</v>
      </c>
      <c r="Y46" s="11" t="n">
        <v>5.60501096444991</v>
      </c>
      <c r="Z46" s="11" t="n">
        <v>5.62372281146323</v>
      </c>
      <c r="AA46" s="11" t="n">
        <v>5.61193731105979</v>
      </c>
      <c r="AB46" s="11" t="n">
        <v>5.62617031143543</v>
      </c>
      <c r="AC46" s="11" t="n">
        <v>5.60602836886574</v>
      </c>
      <c r="AD46" s="11" t="n">
        <v>5.62278898771431</v>
      </c>
      <c r="AE46" s="11" t="n">
        <v>5.64143854355453</v>
      </c>
      <c r="AF46" s="11" t="n">
        <v>5.63907784389892</v>
      </c>
      <c r="AG46" s="11" t="n">
        <v>5.69160270708721</v>
      </c>
      <c r="AH46" s="11" t="n">
        <v>5.70956542589149</v>
      </c>
      <c r="AI46" s="11" t="n">
        <v>5.68909600002544</v>
      </c>
      <c r="AJ46" s="11" t="n">
        <v>5.69657165648638</v>
      </c>
      <c r="AK46" s="11" t="n">
        <v>5.71939302059153</v>
      </c>
      <c r="AL46" s="11" t="n">
        <v>5.75129142539663</v>
      </c>
      <c r="AM46" s="11" t="n">
        <v>5.77843961940047</v>
      </c>
      <c r="AN46" s="11" t="n">
        <v>5.82893431121417</v>
      </c>
      <c r="AO46" s="11" t="n">
        <v>5.87516461238546</v>
      </c>
      <c r="AP46" s="11" t="n">
        <v>5.92092678246998</v>
      </c>
      <c r="AQ46" s="11" t="n">
        <v>5.96055627423853</v>
      </c>
      <c r="AR46" s="11" t="n">
        <v>6.00469813847712</v>
      </c>
      <c r="AS46" s="11" t="n">
        <v>6.04871755683646</v>
      </c>
      <c r="AT46" s="11" t="n">
        <v>6.05489975770093</v>
      </c>
      <c r="AU46" s="11" t="n">
        <v>6.05930697368643</v>
      </c>
      <c r="AV46" s="11" t="n">
        <v>6.05892463983378</v>
      </c>
      <c r="AW46" s="11" t="n">
        <v>6.05840612219305</v>
      </c>
      <c r="AX46" s="11" t="n">
        <v>6.05759619889438</v>
      </c>
      <c r="AY46" s="11" t="n">
        <v>6.05669382061206</v>
      </c>
      <c r="AZ46" s="11" t="n">
        <v>6.05564215321823</v>
      </c>
      <c r="BA46" s="11" t="n">
        <v>6.05407666296171</v>
      </c>
      <c r="BB46" s="11" t="n">
        <v>6.05265111772195</v>
      </c>
      <c r="BC46" s="11" t="n">
        <v>6.05111180786035</v>
      </c>
      <c r="BD46" s="11" t="n">
        <v>6.05087833472176</v>
      </c>
      <c r="BE46" s="11" t="n">
        <v>6.05117502944991</v>
      </c>
      <c r="BF46" s="11" t="n">
        <v>6.05153060471665</v>
      </c>
      <c r="BG46" s="11" t="n">
        <v>6.04367299685357</v>
      </c>
      <c r="BH46" s="11" t="n">
        <v>6.03767307245211</v>
      </c>
      <c r="BI46" s="11" t="n">
        <v>6.02978817960862</v>
      </c>
      <c r="BJ46" s="11" t="n">
        <v>6.02218043965274</v>
      </c>
      <c r="BK46" s="11" t="n">
        <v>6.01467645946509</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1.54590973355711</v>
      </c>
      <c r="U47" s="11" t="n">
        <v>1.51233022580462</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37.8563107926445</v>
      </c>
      <c r="AN48" s="11" t="n">
        <v>26.0354598693328</v>
      </c>
      <c r="AO48" s="11" t="n">
        <v>23.7279843885429</v>
      </c>
      <c r="AP48" s="11" t="n">
        <v>21.3030383884329</v>
      </c>
      <c r="AQ48" s="11" t="n">
        <v>20.7268310938677</v>
      </c>
      <c r="AR48" s="11" t="n">
        <v>21.05615447684</v>
      </c>
      <c r="AS48" s="11" t="n">
        <v>23.1519783240405</v>
      </c>
      <c r="AT48" s="11" t="n">
        <v>23.6862581664426</v>
      </c>
      <c r="AU48" s="11" t="n">
        <v>24.9455011946849</v>
      </c>
      <c r="AV48" s="11" t="n">
        <v>26.316738078766</v>
      </c>
      <c r="AW48" s="11" t="n">
        <v>27.7129005369693</v>
      </c>
      <c r="AX48" s="11" t="n">
        <v>28.8990655245726</v>
      </c>
      <c r="AY48" s="11" t="n">
        <v>28.0476806182266</v>
      </c>
      <c r="AZ48" s="11" t="n">
        <v>27.9230720071344</v>
      </c>
      <c r="BA48" s="11" t="n">
        <v>28.259321872319</v>
      </c>
      <c r="BB48" s="11" t="n">
        <v>28.6150607921325</v>
      </c>
      <c r="BC48" s="11" t="n">
        <v>29.1743615327164</v>
      </c>
      <c r="BD48" s="11" t="n">
        <v>30.4904665019906</v>
      </c>
      <c r="BE48" s="11" t="n">
        <v>32.1471843310503</v>
      </c>
      <c r="BF48" s="11" t="n">
        <v>33.3973333995245</v>
      </c>
      <c r="BG48" s="11" t="n">
        <v>34.6242287217524</v>
      </c>
      <c r="BH48" s="11" t="n">
        <v>35.2322579851566</v>
      </c>
      <c r="BI48" s="11" t="n">
        <v>36.3998733965673</v>
      </c>
      <c r="BJ48" s="11" t="n">
        <v>37.3891069881895</v>
      </c>
      <c r="BK48" s="11" t="n">
        <v>38.7557697250203</v>
      </c>
      <c r="BL48" s="11" t="n">
        <v>39.350926509434</v>
      </c>
      <c r="BM48" s="11" t="n">
        <v>40.6313725821124</v>
      </c>
      <c r="BN48" s="11" t="n">
        <v>152.253694490148</v>
      </c>
      <c r="BO48" s="11" t="n">
        <v>113.566723255876</v>
      </c>
      <c r="BP48" s="11" t="n">
        <v>138.899456765669</v>
      </c>
      <c r="BQ48" s="11" t="n">
        <v>148.686395030209</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0.0709247278374883</v>
      </c>
      <c r="I49" s="11" t="n">
        <v>0.0742130274626892</v>
      </c>
      <c r="J49" s="11" t="n">
        <v>0.0748808413651573</v>
      </c>
      <c r="K49" s="11" t="n">
        <v>0.0758501153320661</v>
      </c>
      <c r="L49" s="11" t="n">
        <v>0.0732454613383986</v>
      </c>
      <c r="M49" s="11" t="n">
        <v>0.0774811747973583</v>
      </c>
      <c r="N49" s="11" t="n">
        <v>0.0793672420704025</v>
      </c>
      <c r="O49" s="11" t="n">
        <v>0.0846894349742251</v>
      </c>
      <c r="P49" s="11" t="n">
        <v>0.0917537201635203</v>
      </c>
      <c r="Q49" s="11" t="n">
        <v>0.0907429907796952</v>
      </c>
      <c r="R49" s="11" t="n">
        <v>0.0941428339572569</v>
      </c>
      <c r="S49" s="11" t="n">
        <v>0.0957489905159301</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0.211350425583012</v>
      </c>
      <c r="AE49" s="11" t="n">
        <v>0.220751805792713</v>
      </c>
      <c r="AF49" s="11" t="n">
        <v>0.222246360185227</v>
      </c>
      <c r="AG49" s="11" t="n">
        <v>0.249516926143695</v>
      </c>
      <c r="AH49" s="11" t="n">
        <v>0.272413021693873</v>
      </c>
      <c r="AI49" s="11" t="n">
        <v>0.274611055142342</v>
      </c>
      <c r="AJ49" s="11" t="n">
        <v>0.29493541718883</v>
      </c>
      <c r="AK49" s="11" t="n">
        <v>0.268806108474927</v>
      </c>
      <c r="AL49" s="11" t="n">
        <v>0.261550530209526</v>
      </c>
      <c r="AM49" s="11" t="n">
        <v>0.37970982641791</v>
      </c>
      <c r="AN49" s="11" t="n">
        <v>0.373152524093164</v>
      </c>
      <c r="AO49" s="11" t="n">
        <v>0.364150604389079</v>
      </c>
      <c r="AP49" s="11" t="n">
        <v>0.335743013231101</v>
      </c>
      <c r="AQ49" s="11" t="n">
        <v>0.247123194395579</v>
      </c>
      <c r="AR49" s="11" t="n">
        <v>0.240951806363599</v>
      </c>
      <c r="AS49" s="11" t="n">
        <v>0.226793440004245</v>
      </c>
      <c r="AT49" s="11" t="n">
        <v>0.225515700941987</v>
      </c>
      <c r="AU49" s="11" t="n">
        <v>0.182070064039083</v>
      </c>
      <c r="AV49" s="11" t="n">
        <v>0.183039441620555</v>
      </c>
      <c r="AW49" s="11" t="n">
        <v>0.183452085889461</v>
      </c>
      <c r="AX49" s="11" t="n">
        <v>0.160654890927591</v>
      </c>
      <c r="AY49" s="11" t="n">
        <v>0.156944364708549</v>
      </c>
      <c r="AZ49" s="11" t="n">
        <v>0.152249964022387</v>
      </c>
      <c r="BA49" s="11" t="n">
        <v>0.15418448221977</v>
      </c>
      <c r="BB49" s="11" t="n">
        <v>0.15479362916323</v>
      </c>
      <c r="BC49" s="11" t="n">
        <v>0.153667507160329</v>
      </c>
      <c r="BD49" s="11" t="n">
        <v>0.149336929198104</v>
      </c>
      <c r="BE49" s="11" t="n">
        <v>0.141719279594686</v>
      </c>
      <c r="BF49" s="11" t="n">
        <v>0.139085629633179</v>
      </c>
      <c r="BG49" s="11" t="n">
        <v>0.139869320151641</v>
      </c>
      <c r="BH49" s="11" t="n">
        <v>0.140843069571816</v>
      </c>
      <c r="BI49" s="11" t="n">
        <v>0.141613528560582</v>
      </c>
      <c r="BJ49" s="11" t="n">
        <v>0.142459530181755</v>
      </c>
      <c r="BK49" s="11" t="n">
        <v>0.143543187687845</v>
      </c>
      <c r="BL49" s="11" t="n">
        <v>0.144335495240573</v>
      </c>
      <c r="BM49" s="11" t="n">
        <v>0.145486099165834</v>
      </c>
      <c r="BN49" s="11" t="n">
        <v>1.71430649834078</v>
      </c>
      <c r="BO49" s="11" t="n">
        <v>1.12245420574449</v>
      </c>
      <c r="BP49" s="11" t="n">
        <v>0.836340747168542</v>
      </c>
      <c r="BQ49" s="11" t="n">
        <v>0.753701827336118</v>
      </c>
    </row>
    <row r="50" customFormat="false" ht="13.8" hidden="false" customHeight="false" outlineLevel="0" collapsed="false">
      <c r="A50" s="11" t="s">
        <v>156</v>
      </c>
      <c r="B50" s="11" t="s">
        <v>151</v>
      </c>
      <c r="C50" s="11" t="s">
        <v>139</v>
      </c>
      <c r="D50" s="12"/>
      <c r="E50" s="11" t="n">
        <v>0.984987691558184</v>
      </c>
      <c r="F50" s="11" t="n">
        <v>0.970048388417934</v>
      </c>
      <c r="G50" s="11" t="n">
        <v>0.910617933265949</v>
      </c>
      <c r="H50" s="11" t="n">
        <v>0.771978697012649</v>
      </c>
      <c r="I50" s="11" t="n">
        <v>0.737321268443208</v>
      </c>
      <c r="J50" s="11" t="n">
        <v>0.709397209019641</v>
      </c>
      <c r="K50" s="11" t="n">
        <v>0.6612887889585</v>
      </c>
      <c r="L50" s="11" t="n">
        <v>0.568914048515287</v>
      </c>
      <c r="M50" s="11" t="n">
        <v>0.586389592586241</v>
      </c>
      <c r="N50" s="11" t="n">
        <v>0.513498687002719</v>
      </c>
      <c r="O50" s="11" t="n">
        <v>0.574804572248271</v>
      </c>
      <c r="P50" s="11" t="n">
        <v>0.632355500344122</v>
      </c>
      <c r="Q50" s="11" t="n">
        <v>0.597481798965218</v>
      </c>
      <c r="R50" s="11" t="n">
        <v>0.652412845375287</v>
      </c>
      <c r="S50" s="11" t="n">
        <v>0.634687425943724</v>
      </c>
      <c r="T50" s="11" t="n">
        <v>0.672744029106066</v>
      </c>
      <c r="U50" s="11" t="n">
        <v>0.726225392133559</v>
      </c>
      <c r="V50" s="11" t="n">
        <v>0.673849210882455</v>
      </c>
      <c r="W50" s="11" t="n">
        <v>0.637459708292023</v>
      </c>
      <c r="X50" s="11" t="n">
        <v>0.548443507955348</v>
      </c>
      <c r="Y50" s="11" t="n">
        <v>0.577056570762781</v>
      </c>
      <c r="Z50" s="11" t="n">
        <v>0.580114063030645</v>
      </c>
      <c r="AA50" s="11" t="n">
        <v>0.739849019698221</v>
      </c>
      <c r="AB50" s="11" t="n">
        <v>0.714748016401048</v>
      </c>
      <c r="AC50" s="11" t="n">
        <v>0.62046564927776</v>
      </c>
      <c r="AD50" s="11" t="n">
        <v>0.568838988121384</v>
      </c>
      <c r="AE50" s="11" t="n">
        <v>0.39786726674901</v>
      </c>
      <c r="AF50" s="11" t="n">
        <v>0.365313374041686</v>
      </c>
      <c r="AG50" s="11" t="n">
        <v>0.377926428764218</v>
      </c>
      <c r="AH50" s="11" t="n">
        <v>0.368168520875392</v>
      </c>
      <c r="AI50" s="11" t="n">
        <v>0.365816544629617</v>
      </c>
      <c r="AJ50" s="11" t="n">
        <v>0.393674218221008</v>
      </c>
      <c r="AK50" s="11" t="n">
        <v>0.35714368175873</v>
      </c>
      <c r="AL50" s="11" t="n">
        <v>0.341045187738303</v>
      </c>
      <c r="AM50" s="11" t="n">
        <v>0.486334882072618</v>
      </c>
      <c r="AN50" s="11" t="n">
        <v>0.469167067935617</v>
      </c>
      <c r="AO50" s="11" t="n">
        <v>0.458177422014684</v>
      </c>
      <c r="AP50" s="11" t="n">
        <v>0.422743243841845</v>
      </c>
      <c r="AQ50" s="11" t="n">
        <v>0.3113986406926</v>
      </c>
      <c r="AR50" s="11" t="n">
        <v>0.30334709692167</v>
      </c>
      <c r="AS50" s="11" t="n">
        <v>0.285188297656549</v>
      </c>
      <c r="AT50" s="11" t="n">
        <v>0.283495307281397</v>
      </c>
      <c r="AU50" s="11" t="n">
        <v>0.228522782162698</v>
      </c>
      <c r="AV50" s="11" t="n">
        <v>0.229499727546252</v>
      </c>
      <c r="AW50" s="11" t="n">
        <v>0.2297770980178</v>
      </c>
      <c r="AX50" s="11" t="n">
        <v>0.200836221726018</v>
      </c>
      <c r="AY50" s="11" t="n">
        <v>0.196282230308781</v>
      </c>
      <c r="AZ50" s="11" t="n">
        <v>0.1903692249776</v>
      </c>
      <c r="BA50" s="11" t="n">
        <v>0.192724373337991</v>
      </c>
      <c r="BB50" s="11" t="n">
        <v>0.193418523473231</v>
      </c>
      <c r="BC50" s="11" t="n">
        <v>0.191852181290888</v>
      </c>
      <c r="BD50" s="11" t="n">
        <v>0.186174166267512</v>
      </c>
      <c r="BE50" s="11" t="n">
        <v>0.176281442592545</v>
      </c>
      <c r="BF50" s="11" t="n">
        <v>0.172714245802148</v>
      </c>
      <c r="BG50" s="11" t="n">
        <v>0.173371193197353</v>
      </c>
      <c r="BH50" s="11" t="n">
        <v>0.174203759653418</v>
      </c>
      <c r="BI50" s="11" t="n">
        <v>0.175003902803093</v>
      </c>
      <c r="BJ50" s="11" t="n">
        <v>0.175891922046177</v>
      </c>
      <c r="BK50" s="11" t="n">
        <v>0.177021526174031</v>
      </c>
      <c r="BL50" s="11" t="n">
        <v>0.177793343081663</v>
      </c>
      <c r="BM50" s="11" t="n">
        <v>0.178897625465312</v>
      </c>
      <c r="BN50" s="11" t="n">
        <v>2.17746780360307</v>
      </c>
      <c r="BO50" s="11" t="n">
        <v>1.41195212471491</v>
      </c>
      <c r="BP50" s="11" t="n">
        <v>1.04676450257645</v>
      </c>
      <c r="BQ50" s="11" t="n">
        <v>0.940450686962166</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71.8668526746167</v>
      </c>
      <c r="M52" s="11" t="n">
        <v>71.437171210827</v>
      </c>
      <c r="N52" s="11" t="n">
        <v>68.9718781335775</v>
      </c>
      <c r="O52" s="11" t="n">
        <v>66.1216312178532</v>
      </c>
      <c r="P52" s="11" t="n">
        <v>63.8864157779356</v>
      </c>
      <c r="Q52" s="11" t="n">
        <v>63.4236235102702</v>
      </c>
      <c r="R52" s="11" t="n">
        <v>59.9558712542823</v>
      </c>
      <c r="S52" s="11" t="n">
        <v>55.2688216322833</v>
      </c>
      <c r="T52" s="11" t="n">
        <v>52.9833963820738</v>
      </c>
      <c r="U52" s="11" t="n">
        <v>51.0954461139793</v>
      </c>
      <c r="V52" s="11" t="n">
        <v>47.3995206969938</v>
      </c>
      <c r="W52" s="11" t="n">
        <v>42.6149904906712</v>
      </c>
      <c r="X52" s="11" t="n">
        <v>38.5185777277248</v>
      </c>
      <c r="Y52" s="11" t="n">
        <v>33.2083199621817</v>
      </c>
      <c r="Z52" s="11" t="n">
        <v>30.8558884109676</v>
      </c>
      <c r="AA52" s="11" t="n">
        <v>29.1299107625631</v>
      </c>
      <c r="AB52" s="11" t="n">
        <v>25.716866743767</v>
      </c>
      <c r="AC52" s="11" t="n">
        <v>23.1953408858308</v>
      </c>
      <c r="AD52" s="11" t="n">
        <v>22.3648223414965</v>
      </c>
      <c r="AE52" s="11" t="n">
        <v>21.1547525779738</v>
      </c>
      <c r="AF52" s="11" t="n">
        <v>21.4242303804281</v>
      </c>
      <c r="AG52" s="11" t="n">
        <v>21.2945620332643</v>
      </c>
      <c r="AH52" s="11" t="n">
        <v>20.8253175246668</v>
      </c>
      <c r="AI52" s="11" t="n">
        <v>19.3011141759919</v>
      </c>
      <c r="AJ52" s="11" t="n">
        <v>18.1553437634056</v>
      </c>
      <c r="AK52" s="11" t="n">
        <v>18.0570091121117</v>
      </c>
      <c r="AL52" s="11" t="n">
        <v>17.8914413549416</v>
      </c>
      <c r="AM52" s="11" t="n">
        <v>17.0850291704747</v>
      </c>
      <c r="AN52" s="11" t="n">
        <v>16.7087434666579</v>
      </c>
      <c r="AO52" s="11" t="n">
        <v>16.2838710150735</v>
      </c>
      <c r="AP52" s="11" t="n">
        <v>16.5890651383816</v>
      </c>
      <c r="AQ52" s="11" t="n">
        <v>15.6118155960687</v>
      </c>
      <c r="AR52" s="11" t="n">
        <v>14.7518597278136</v>
      </c>
      <c r="AS52" s="11" t="n">
        <v>13.961434129156</v>
      </c>
      <c r="AT52" s="11" t="n">
        <v>13.2646876862591</v>
      </c>
      <c r="AU52" s="11" t="n">
        <v>12.6516465016031</v>
      </c>
      <c r="AV52" s="11" t="n">
        <v>12.1140842315233</v>
      </c>
      <c r="AW52" s="11" t="n">
        <v>11.6466433210186</v>
      </c>
      <c r="AX52" s="11" t="n">
        <v>11.2415414735956</v>
      </c>
      <c r="AY52" s="11" t="n">
        <v>10.8907584485973</v>
      </c>
      <c r="AZ52" s="11" t="n">
        <v>10.5865874968246</v>
      </c>
      <c r="BA52" s="11" t="n">
        <v>10.3249136396055</v>
      </c>
      <c r="BB52" s="11" t="n">
        <v>10.1020040487465</v>
      </c>
      <c r="BC52" s="11" t="n">
        <v>9.91471415800085</v>
      </c>
      <c r="BD52" s="11" t="n">
        <v>9.79662181413858</v>
      </c>
      <c r="BE52" s="11" t="n">
        <v>9.70809975879886</v>
      </c>
      <c r="BF52" s="11" t="n">
        <v>9.64669457071947</v>
      </c>
      <c r="BG52" s="11" t="n">
        <v>9.61017841441223</v>
      </c>
      <c r="BH52" s="11" t="n">
        <v>9.59728490216657</v>
      </c>
      <c r="BI52" s="11" t="n">
        <v>9.60471174816616</v>
      </c>
      <c r="BJ52" s="11" t="n">
        <v>9.6306070877834</v>
      </c>
      <c r="BK52" s="11" t="n">
        <v>9.67346437631095</v>
      </c>
      <c r="BL52" s="11" t="n">
        <v>9.73210212346832</v>
      </c>
      <c r="BM52" s="11" t="n">
        <v>9.80541975718671</v>
      </c>
      <c r="BN52" s="11" t="n">
        <v>84.5581501455294</v>
      </c>
      <c r="BO52" s="11" t="n">
        <v>70.2414436409005</v>
      </c>
      <c r="BP52" s="11" t="n">
        <v>56.4796149715593</v>
      </c>
      <c r="BQ52" s="11" t="n">
        <v>49.8463534192903</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0.914269940585073</v>
      </c>
      <c r="K53" s="11" t="n">
        <v>0.948977695066554</v>
      </c>
      <c r="L53" s="11" t="n">
        <v>0.960229133477018</v>
      </c>
      <c r="M53" s="11" t="n">
        <v>0.990264616022948</v>
      </c>
      <c r="N53" s="11" t="n">
        <v>0.9892457885681</v>
      </c>
      <c r="O53" s="11" t="n">
        <v>1.03182659578218</v>
      </c>
      <c r="P53" s="11" t="n">
        <v>1.01501682257822</v>
      </c>
      <c r="Q53" s="11" t="n">
        <v>1.03773758149955</v>
      </c>
      <c r="R53" s="11" t="n">
        <v>1.04726854425037</v>
      </c>
      <c r="S53" s="11" t="n">
        <v>1.05229317532329</v>
      </c>
      <c r="T53" s="11" t="n">
        <v>1.09134261724207</v>
      </c>
      <c r="U53" s="11" t="n">
        <v>1.11377060691125</v>
      </c>
      <c r="V53" s="11" t="n">
        <v>1.14055693363522</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1.51665579467754</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1.48301869718965</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42.2854516274598</v>
      </c>
      <c r="AO54" s="11" t="n">
        <v>41.7707813394059</v>
      </c>
      <c r="AP54" s="11" t="n">
        <v>41.5934433206711</v>
      </c>
      <c r="AQ54" s="11" t="n">
        <v>40.6529292936652</v>
      </c>
      <c r="AR54" s="11" t="n">
        <v>40.8988517236249</v>
      </c>
      <c r="AS54" s="11" t="n">
        <v>39.8915129383533</v>
      </c>
      <c r="AT54" s="11" t="n">
        <v>39.8118351341012</v>
      </c>
      <c r="AU54" s="11" t="n">
        <v>39.4555517100467</v>
      </c>
      <c r="AV54" s="11" t="n">
        <v>38.7600386061301</v>
      </c>
      <c r="AW54" s="11" t="n">
        <v>38.2436403553886</v>
      </c>
      <c r="AX54" s="11" t="n">
        <v>38.0378403608337</v>
      </c>
      <c r="AY54" s="11" t="n">
        <v>37.4369056973882</v>
      </c>
      <c r="AZ54" s="11" t="n">
        <v>36.676290782145</v>
      </c>
      <c r="BA54" s="11" t="n">
        <v>36.5017063589597</v>
      </c>
      <c r="BB54" s="11" t="n">
        <v>36.5267615346145</v>
      </c>
      <c r="BC54" s="11" t="n">
        <v>36.245334898323</v>
      </c>
      <c r="BD54" s="11" t="n">
        <v>36.7181610178511</v>
      </c>
      <c r="BE54" s="11" t="n">
        <v>37.243533409706</v>
      </c>
      <c r="BF54" s="11" t="n">
        <v>37.1705954372477</v>
      </c>
      <c r="BG54" s="11" t="n">
        <v>36.8699339781966</v>
      </c>
      <c r="BH54" s="11" t="n">
        <v>36.4110196957223</v>
      </c>
      <c r="BI54" s="11" t="n">
        <v>35.9249032819482</v>
      </c>
      <c r="BJ54" s="11" t="n">
        <v>35.2192232593229</v>
      </c>
      <c r="BK54" s="11" t="n">
        <v>35.4142849459432</v>
      </c>
      <c r="BL54" s="11" t="n">
        <v>34.2983836372689</v>
      </c>
      <c r="BM54" s="11" t="n">
        <v>33.7457847671173</v>
      </c>
      <c r="BN54" s="11" t="n">
        <v>206.71297591066</v>
      </c>
      <c r="BO54" s="11" t="n">
        <v>200.710680799791</v>
      </c>
      <c r="BP54" s="11" t="n">
        <v>189.154715801886</v>
      </c>
      <c r="BQ54" s="11" t="n">
        <v>183.235497219454</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0.00474727849323506</v>
      </c>
      <c r="AO55" s="11" t="n">
        <v>0.00469061998524104</v>
      </c>
      <c r="AP55" s="11" t="n">
        <v>0.00465445147417582</v>
      </c>
      <c r="AQ55" s="11" t="n">
        <v>0.00456482887308517</v>
      </c>
      <c r="AR55" s="11" t="n">
        <v>0.00456429385427989</v>
      </c>
      <c r="AS55" s="11" t="n">
        <v>0.00447132558491666</v>
      </c>
      <c r="AT55" s="11" t="n">
        <v>0.00444734026270878</v>
      </c>
      <c r="AU55" s="11" t="n">
        <v>0.00440543682735449</v>
      </c>
      <c r="AV55" s="11" t="n">
        <v>0.00433655265149583</v>
      </c>
      <c r="AW55" s="11" t="n">
        <v>0.00428058629175956</v>
      </c>
      <c r="AX55" s="11" t="n">
        <v>0.00425262128105525</v>
      </c>
      <c r="AY55" s="11" t="n">
        <v>0.00420099548791325</v>
      </c>
      <c r="AZ55" s="11" t="n">
        <v>0.00413801287142161</v>
      </c>
      <c r="BA55" s="11" t="n">
        <v>0.00411135712895239</v>
      </c>
      <c r="BB55" s="11" t="n">
        <v>0.00410272794771994</v>
      </c>
      <c r="BC55" s="11" t="n">
        <v>0.00406758667652021</v>
      </c>
      <c r="BD55" s="11" t="n">
        <v>0.00408499135390556</v>
      </c>
      <c r="BE55" s="11" t="n">
        <v>0.00410441600476228</v>
      </c>
      <c r="BF55" s="11" t="n">
        <v>0.00403025616226962</v>
      </c>
      <c r="BG55" s="11" t="n">
        <v>0.00393521830299817</v>
      </c>
      <c r="BH55" s="11" t="n">
        <v>0.00382893380372485</v>
      </c>
      <c r="BI55" s="11" t="n">
        <v>0.00372177663548755</v>
      </c>
      <c r="BJ55" s="11" t="n">
        <v>0.00359841362465889</v>
      </c>
      <c r="BK55" s="11" t="n">
        <v>0.00354149099584186</v>
      </c>
      <c r="BL55" s="11" t="n">
        <v>0.00339307111445951</v>
      </c>
      <c r="BM55" s="11" t="n">
        <v>0.00328939497250166</v>
      </c>
      <c r="BN55" s="11" t="n">
        <v>0.0234573861217455</v>
      </c>
      <c r="BO55" s="11" t="n">
        <v>0.022453225402345</v>
      </c>
      <c r="BP55" s="11" t="n">
        <v>0.0212087685836455</v>
      </c>
      <c r="BQ55" s="11" t="n">
        <v>0.0204710791118604</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0.380713431354324</v>
      </c>
      <c r="AO56" s="11" t="n">
        <v>0.3760941681642</v>
      </c>
      <c r="AP56" s="11" t="n">
        <v>0.374287049131831</v>
      </c>
      <c r="AQ56" s="11" t="n">
        <v>0.366025893740407</v>
      </c>
      <c r="AR56" s="11" t="n">
        <v>0.367875717364998</v>
      </c>
      <c r="AS56" s="11" t="n">
        <v>0.359066716761752</v>
      </c>
      <c r="AT56" s="11" t="n">
        <v>0.358154654378939</v>
      </c>
      <c r="AU56" s="11" t="n">
        <v>0.354922235027332</v>
      </c>
      <c r="AV56" s="11" t="n">
        <v>0.348779324844331</v>
      </c>
      <c r="AW56" s="11" t="n">
        <v>0.344155974965956</v>
      </c>
      <c r="AX56" s="11" t="n">
        <v>0.34224015610735</v>
      </c>
      <c r="AY56" s="11" t="n">
        <v>0.337034731780727</v>
      </c>
      <c r="AZ56" s="11" t="n">
        <v>0.330476687789769</v>
      </c>
      <c r="BA56" s="11" t="n">
        <v>0.328813499062031</v>
      </c>
      <c r="BB56" s="11" t="n">
        <v>0.328890966736787</v>
      </c>
      <c r="BC56" s="11" t="n">
        <v>0.326311261194557</v>
      </c>
      <c r="BD56" s="11" t="n">
        <v>0.330106464536919</v>
      </c>
      <c r="BE56" s="11" t="n">
        <v>0.334324547725099</v>
      </c>
      <c r="BF56" s="11" t="n">
        <v>0.332813876170709</v>
      </c>
      <c r="BG56" s="11" t="n">
        <v>0.329313599533671</v>
      </c>
      <c r="BH56" s="11" t="n">
        <v>0.324472906813636</v>
      </c>
      <c r="BI56" s="11" t="n">
        <v>0.319415537667506</v>
      </c>
      <c r="BJ56" s="11" t="n">
        <v>0.312490651731376</v>
      </c>
      <c r="BK56" s="11" t="n">
        <v>0.313226546855994</v>
      </c>
      <c r="BL56" s="11" t="n">
        <v>0.302880077357479</v>
      </c>
      <c r="BM56" s="11" t="n">
        <v>0.297365817178083</v>
      </c>
      <c r="BN56" s="11" t="n">
        <v>1.86436199274068</v>
      </c>
      <c r="BO56" s="11" t="n">
        <v>1.80604521727343</v>
      </c>
      <c r="BP56" s="11" t="n">
        <v>1.70268687548813</v>
      </c>
      <c r="BQ56" s="11" t="n">
        <v>1.64844673925539</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161</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447.51561627128</v>
      </c>
      <c r="AI4" s="11" t="n">
        <v>407.975238765153</v>
      </c>
      <c r="AJ4" s="11" t="n">
        <v>422.475570116601</v>
      </c>
      <c r="AK4" s="11" t="n">
        <v>404.682267986786</v>
      </c>
      <c r="AL4" s="11" t="n">
        <v>384.972556090126</v>
      </c>
      <c r="AM4" s="11" t="n">
        <v>371.759487375243</v>
      </c>
      <c r="AN4" s="11" t="n">
        <v>366.399069378922</v>
      </c>
      <c r="AO4" s="11" t="n">
        <v>363.755036386112</v>
      </c>
      <c r="AP4" s="11" t="n">
        <v>356.926670784928</v>
      </c>
      <c r="AQ4" s="11" t="n">
        <v>348.825493667196</v>
      </c>
      <c r="AR4" s="11" t="n">
        <v>341.416354587453</v>
      </c>
      <c r="AS4" s="11" t="n">
        <v>335.052424629997</v>
      </c>
      <c r="AT4" s="11" t="n">
        <v>327.994594856362</v>
      </c>
      <c r="AU4" s="11" t="n">
        <v>322.714842923548</v>
      </c>
      <c r="AV4" s="11" t="n">
        <v>318.736263136564</v>
      </c>
      <c r="AW4" s="11" t="n">
        <v>316.093916423208</v>
      </c>
      <c r="AX4" s="11" t="n">
        <v>313.849883425831</v>
      </c>
      <c r="AY4" s="11" t="n">
        <v>308.513535187775</v>
      </c>
      <c r="AZ4" s="11" t="n">
        <v>305.197553676064</v>
      </c>
      <c r="BA4" s="11" t="n">
        <v>302.329578774853</v>
      </c>
      <c r="BB4" s="11" t="n">
        <v>299.808819129288</v>
      </c>
      <c r="BC4" s="11" t="n">
        <v>298.252134814723</v>
      </c>
      <c r="BD4" s="11" t="n">
        <v>297.552243517372</v>
      </c>
      <c r="BE4" s="11" t="n">
        <v>297.036423874985</v>
      </c>
      <c r="BF4" s="11" t="n">
        <v>296.930337897371</v>
      </c>
      <c r="BG4" s="11" t="n">
        <v>297.426598421044</v>
      </c>
      <c r="BH4" s="11" t="n">
        <v>297.279538323053</v>
      </c>
      <c r="BI4" s="11" t="n">
        <v>297.757516358069</v>
      </c>
      <c r="BJ4" s="11" t="n">
        <v>298.403481799805</v>
      </c>
      <c r="BK4" s="11" t="n">
        <v>299.661816685502</v>
      </c>
      <c r="BL4" s="11" t="n">
        <v>299.406611917567</v>
      </c>
      <c r="BM4" s="11" t="n">
        <v>300.443269463083</v>
      </c>
      <c r="BN4" s="11" t="n">
        <v>1843.81282001533</v>
      </c>
      <c r="BO4" s="11" t="n">
        <v>1676.00371066456</v>
      </c>
      <c r="BP4" s="11" t="n">
        <v>1562.39115184944</v>
      </c>
      <c r="BQ4" s="11" t="n">
        <v>1494.97920011122</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409.539282268611</v>
      </c>
      <c r="AO5" s="11" t="n">
        <v>406.949083603084</v>
      </c>
      <c r="AP5" s="11" t="n">
        <v>400.16297736702</v>
      </c>
      <c r="AQ5" s="11" t="n">
        <v>391.096410105799</v>
      </c>
      <c r="AR5" s="11" t="n">
        <v>383.959843717707</v>
      </c>
      <c r="AS5" s="11" t="n">
        <v>376.558423565042</v>
      </c>
      <c r="AT5" s="11" t="n">
        <v>369.419687035858</v>
      </c>
      <c r="AU5" s="11" t="n">
        <v>363.772156503867</v>
      </c>
      <c r="AV5" s="11" t="n">
        <v>359.070604914758</v>
      </c>
      <c r="AW5" s="11" t="n">
        <v>355.891885746808</v>
      </c>
      <c r="AX5" s="11" t="n">
        <v>353.438070220167</v>
      </c>
      <c r="AY5" s="11" t="n">
        <v>347.479755120843</v>
      </c>
      <c r="AZ5" s="11" t="n">
        <v>343.374287282155</v>
      </c>
      <c r="BA5" s="11" t="n">
        <v>340.329613305428</v>
      </c>
      <c r="BB5" s="11" t="n">
        <v>337.840106422468</v>
      </c>
      <c r="BC5" s="11" t="n">
        <v>335.99421193899</v>
      </c>
      <c r="BD5" s="11" t="n">
        <v>335.766542183196</v>
      </c>
      <c r="BE5" s="11" t="n">
        <v>335.777130198428</v>
      </c>
      <c r="BF5" s="11" t="n">
        <v>335.577610880007</v>
      </c>
      <c r="BG5" s="11" t="n">
        <v>335.743153640084</v>
      </c>
      <c r="BH5" s="11" t="n">
        <v>335.100574296543</v>
      </c>
      <c r="BI5" s="11" t="n">
        <v>335.054825224087</v>
      </c>
      <c r="BJ5" s="11" t="n">
        <v>334.948863797219</v>
      </c>
      <c r="BK5" s="11" t="n">
        <v>336.392723171913</v>
      </c>
      <c r="BL5" s="11" t="n">
        <v>334.959457315004</v>
      </c>
      <c r="BM5" s="11" t="n">
        <v>335.404087777143</v>
      </c>
      <c r="BN5" s="11" t="n">
        <v>2055.18931870747</v>
      </c>
      <c r="BO5" s="11" t="n">
        <v>1884.80652092827</v>
      </c>
      <c r="BP5" s="11" t="n">
        <v>1759.25460328473</v>
      </c>
      <c r="BQ5" s="11" t="n">
        <v>1685.70760404851</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366.399069378922</v>
      </c>
      <c r="AO6" s="11" t="n">
        <v>363.755036386112</v>
      </c>
      <c r="AP6" s="11" t="n">
        <v>356.926670784928</v>
      </c>
      <c r="AQ6" s="11" t="n">
        <v>348.825493667196</v>
      </c>
      <c r="AR6" s="11" t="n">
        <v>341.416354587453</v>
      </c>
      <c r="AS6" s="11" t="n">
        <v>335.052424629997</v>
      </c>
      <c r="AT6" s="11" t="n">
        <v>327.994594856362</v>
      </c>
      <c r="AU6" s="11" t="n">
        <v>322.714842923548</v>
      </c>
      <c r="AV6" s="11" t="n">
        <v>359.070604914758</v>
      </c>
      <c r="AW6" s="11" t="n">
        <v>355.891885746808</v>
      </c>
      <c r="AX6" s="11" t="n">
        <v>353.438070220167</v>
      </c>
      <c r="AY6" s="11" t="n">
        <v>347.479755120843</v>
      </c>
      <c r="AZ6" s="11" t="n">
        <v>343.374287282155</v>
      </c>
      <c r="BA6" s="11"/>
      <c r="BB6" s="11"/>
      <c r="BC6" s="11"/>
      <c r="BD6" s="11"/>
      <c r="BE6" s="11"/>
      <c r="BF6" s="11"/>
      <c r="BG6" s="11"/>
      <c r="BH6" s="11"/>
      <c r="BI6" s="11"/>
      <c r="BJ6" s="11"/>
      <c r="BK6" s="11"/>
      <c r="BL6" s="11"/>
      <c r="BM6" s="11"/>
      <c r="BN6" s="11" t="n">
        <v>1843.81282001533</v>
      </c>
      <c r="BO6" s="11" t="n">
        <v>1676.00371066456</v>
      </c>
      <c r="BP6" s="11" t="n">
        <v>1759.25460328473</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366.399069378922</v>
      </c>
      <c r="AO7" s="11" t="n">
        <v>363.755036386112</v>
      </c>
      <c r="AP7" s="11" t="n">
        <v>356.926670784928</v>
      </c>
      <c r="AQ7" s="11" t="n">
        <v>348.825493667196</v>
      </c>
      <c r="AR7" s="11" t="n">
        <v>341.416354587453</v>
      </c>
      <c r="AS7" s="11" t="n">
        <v>335.052424629997</v>
      </c>
      <c r="AT7" s="11" t="n">
        <v>327.994594856362</v>
      </c>
      <c r="AU7" s="11" t="n">
        <v>322.714842923548</v>
      </c>
      <c r="AV7" s="11"/>
      <c r="AW7" s="11"/>
      <c r="AX7" s="11"/>
      <c r="AY7" s="11"/>
      <c r="AZ7" s="11"/>
      <c r="BA7" s="11"/>
      <c r="BB7" s="11"/>
      <c r="BC7" s="11"/>
      <c r="BD7" s="11"/>
      <c r="BE7" s="11"/>
      <c r="BF7" s="11"/>
      <c r="BG7" s="11"/>
      <c r="BH7" s="11"/>
      <c r="BI7" s="11"/>
      <c r="BJ7" s="11"/>
      <c r="BK7" s="11"/>
      <c r="BL7" s="11"/>
      <c r="BM7" s="11"/>
      <c r="BN7" s="11" t="n">
        <v>1843.81282001533</v>
      </c>
      <c r="BO7" s="11" t="n">
        <v>1676.00371066456</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359.070604914758</v>
      </c>
      <c r="AW8" s="11" t="n">
        <v>355.891885746808</v>
      </c>
      <c r="AX8" s="11" t="n">
        <v>353.438070220167</v>
      </c>
      <c r="AY8" s="11" t="n">
        <v>347.479755120843</v>
      </c>
      <c r="AZ8" s="11" t="n">
        <v>343.374287282155</v>
      </c>
      <c r="BA8" s="11"/>
      <c r="BB8" s="11"/>
      <c r="BC8" s="11"/>
      <c r="BD8" s="11"/>
      <c r="BE8" s="11"/>
      <c r="BF8" s="11"/>
      <c r="BG8" s="11"/>
      <c r="BH8" s="11"/>
      <c r="BI8" s="11"/>
      <c r="BJ8" s="11"/>
      <c r="BK8" s="11"/>
      <c r="BL8" s="11"/>
      <c r="BM8" s="11"/>
      <c r="BN8" s="11"/>
      <c r="BO8" s="11"/>
      <c r="BP8" s="11" t="n">
        <v>1759.25460328473</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87.6506423572419</v>
      </c>
      <c r="AI10" s="11" t="n">
        <v>87.9661491234385</v>
      </c>
      <c r="AJ10" s="11" t="n">
        <v>92.9532506574566</v>
      </c>
      <c r="AK10" s="11" t="n">
        <v>78.6740673305288</v>
      </c>
      <c r="AL10" s="11" t="n">
        <v>74.0601097199175</v>
      </c>
      <c r="AM10" s="11" t="n">
        <v>76.8964500445979</v>
      </c>
      <c r="AN10" s="11" t="n">
        <v>80.4911504452234</v>
      </c>
      <c r="AO10" s="11" t="n">
        <v>81.175514211463</v>
      </c>
      <c r="AP10" s="11" t="n">
        <v>82.4745624384566</v>
      </c>
      <c r="AQ10" s="11" t="n">
        <v>82.2330239302583</v>
      </c>
      <c r="AR10" s="11" t="n">
        <v>81.4500890961435</v>
      </c>
      <c r="AS10" s="11" t="n">
        <v>81.2209455205818</v>
      </c>
      <c r="AT10" s="11" t="n">
        <v>81.1609884584321</v>
      </c>
      <c r="AU10" s="11" t="n">
        <v>81.1116473188866</v>
      </c>
      <c r="AV10" s="11" t="n">
        <v>81.1051932965087</v>
      </c>
      <c r="AW10" s="11" t="n">
        <v>81.115807880176</v>
      </c>
      <c r="AX10" s="11" t="n">
        <v>81.1624427562464</v>
      </c>
      <c r="AY10" s="11" t="n">
        <v>81.6759515175598</v>
      </c>
      <c r="AZ10" s="11" t="n">
        <v>81.7911687705573</v>
      </c>
      <c r="BA10" s="11" t="n">
        <v>82.0576039693794</v>
      </c>
      <c r="BB10" s="11" t="n">
        <v>82.3384688708492</v>
      </c>
      <c r="BC10" s="11" t="n">
        <v>82.6640552782169</v>
      </c>
      <c r="BD10" s="11" t="n">
        <v>83.0738493644323</v>
      </c>
      <c r="BE10" s="11" t="n">
        <v>83.2850784010272</v>
      </c>
      <c r="BF10" s="11" t="n">
        <v>83.4216126598808</v>
      </c>
      <c r="BG10" s="11" t="n">
        <v>83.7493147548334</v>
      </c>
      <c r="BH10" s="11" t="n">
        <v>83.7384388486666</v>
      </c>
      <c r="BI10" s="11" t="n">
        <v>83.831213694108</v>
      </c>
      <c r="BJ10" s="11" t="n">
        <v>84.0654922517132</v>
      </c>
      <c r="BK10" s="11" t="n">
        <v>84.112507822592</v>
      </c>
      <c r="BL10" s="11" t="n">
        <v>84.0728759554964</v>
      </c>
      <c r="BM10" s="11" t="n">
        <v>84.0271571600926</v>
      </c>
      <c r="BN10" s="11" t="n">
        <v>395.097786859658</v>
      </c>
      <c r="BO10" s="11" t="n">
        <v>407.176694324302</v>
      </c>
      <c r="BP10" s="11" t="n">
        <v>406.850564221048</v>
      </c>
      <c r="BQ10" s="11" t="n">
        <v>413.419055883905</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115.852680230379</v>
      </c>
      <c r="AO11" s="11" t="n">
        <v>113.840693927804</v>
      </c>
      <c r="AP11" s="11" t="n">
        <v>111.236540864288</v>
      </c>
      <c r="AQ11" s="11" t="n">
        <v>107.070438691026</v>
      </c>
      <c r="AR11" s="11" t="n">
        <v>101.977033238978</v>
      </c>
      <c r="AS11" s="11" t="n">
        <v>95.7948802678621</v>
      </c>
      <c r="AT11" s="11" t="n">
        <v>90.0964914243658</v>
      </c>
      <c r="AU11" s="11" t="n">
        <v>84.8042334582523</v>
      </c>
      <c r="AV11" s="11" t="n">
        <v>80.2234776687516</v>
      </c>
      <c r="AW11" s="11" t="n">
        <v>76.1297662450605</v>
      </c>
      <c r="AX11" s="11" t="n">
        <v>72.5501203637065</v>
      </c>
      <c r="AY11" s="11" t="n">
        <v>69.2965675052336</v>
      </c>
      <c r="AZ11" s="11" t="n">
        <v>66.3683669504301</v>
      </c>
      <c r="BA11" s="11" t="n">
        <v>63.7762560814627</v>
      </c>
      <c r="BB11" s="11" t="n">
        <v>61.5495485136198</v>
      </c>
      <c r="BC11" s="11" t="n">
        <v>59.5135760630881</v>
      </c>
      <c r="BD11" s="11" t="n">
        <v>57.7942343120167</v>
      </c>
      <c r="BE11" s="11" t="n">
        <v>56.2742101175227</v>
      </c>
      <c r="BF11" s="11" t="n">
        <v>55.082574790423</v>
      </c>
      <c r="BG11" s="11" t="n">
        <v>54.0380044228436</v>
      </c>
      <c r="BH11" s="11" t="n">
        <v>53.1509711137359</v>
      </c>
      <c r="BI11" s="11" t="n">
        <v>52.4683641428091</v>
      </c>
      <c r="BJ11" s="11" t="n">
        <v>51.8782059220304</v>
      </c>
      <c r="BK11" s="11" t="n">
        <v>51.5375079210161</v>
      </c>
      <c r="BL11" s="11" t="n">
        <v>51.1931745252032</v>
      </c>
      <c r="BM11" s="11" t="n">
        <v>50.924614949819</v>
      </c>
      <c r="BN11" s="11" t="n">
        <v>562.19754229081</v>
      </c>
      <c r="BO11" s="11" t="n">
        <v>479.743077080485</v>
      </c>
      <c r="BP11" s="11" t="n">
        <v>364.568298733182</v>
      </c>
      <c r="BQ11" s="11" t="n">
        <v>298.90782508771</v>
      </c>
    </row>
    <row r="12" customFormat="false" ht="13.8" hidden="false" customHeight="false" outlineLevel="0" collapsed="false">
      <c r="A12" s="11" t="s">
        <v>137</v>
      </c>
      <c r="B12" s="11" t="s">
        <v>147</v>
      </c>
      <c r="C12" s="11" t="s">
        <v>139</v>
      </c>
      <c r="D12" s="12"/>
      <c r="E12" s="11" t="n">
        <v>14.7877929691883</v>
      </c>
      <c r="F12" s="11" t="n">
        <v>15.1074685752626</v>
      </c>
      <c r="G12" s="11" t="n">
        <v>15.048263855421</v>
      </c>
      <c r="H12" s="11" t="n">
        <v>15.4393606194209</v>
      </c>
      <c r="I12" s="11" t="n">
        <v>16.2460055865244</v>
      </c>
      <c r="J12" s="11" t="n">
        <v>17.3106292243496</v>
      </c>
      <c r="K12" s="11" t="n">
        <v>18.0794444117165</v>
      </c>
      <c r="L12" s="11" t="n">
        <v>19.7762861133536</v>
      </c>
      <c r="M12" s="11" t="n">
        <v>16.7045015612936</v>
      </c>
      <c r="N12" s="11" t="n">
        <v>9.90829358971171</v>
      </c>
      <c r="O12" s="11" t="n">
        <v>8.74166413230262</v>
      </c>
      <c r="P12" s="11" t="n">
        <v>8.96060646846771</v>
      </c>
      <c r="Q12" s="11" t="n">
        <v>9.34796390566103</v>
      </c>
      <c r="R12" s="11" t="n">
        <v>9.91148119417866</v>
      </c>
      <c r="S12" s="11" t="n">
        <v>8.89494250946247</v>
      </c>
      <c r="T12" s="11" t="n">
        <v>9.5209712784328</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9.68541080398269</v>
      </c>
      <c r="AI12" s="11" t="n">
        <v>8.74353063685975</v>
      </c>
      <c r="AJ12" s="11" t="n">
        <v>8.16632698358806</v>
      </c>
      <c r="AK12" s="11" t="n">
        <v>7.55416736500505</v>
      </c>
      <c r="AL12" s="11" t="n">
        <v>7.04466698153908</v>
      </c>
      <c r="AM12" s="11" t="n">
        <v>6.61216432469942</v>
      </c>
      <c r="AN12" s="11" t="n">
        <v>6.26198481466507</v>
      </c>
      <c r="AO12" s="11" t="n">
        <v>5.9345486980428</v>
      </c>
      <c r="AP12" s="11" t="n">
        <v>5.62528837859824</v>
      </c>
      <c r="AQ12" s="11" t="n">
        <v>5.326849896076</v>
      </c>
      <c r="AR12" s="11" t="n">
        <v>5.05583262880687</v>
      </c>
      <c r="AS12" s="11" t="n">
        <v>4.82194424780008</v>
      </c>
      <c r="AT12" s="11" t="n">
        <v>4.61366583925396</v>
      </c>
      <c r="AU12" s="11" t="n">
        <v>4.41350101904454</v>
      </c>
      <c r="AV12" s="11" t="n">
        <v>4.23790151027039</v>
      </c>
      <c r="AW12" s="11" t="n">
        <v>4.07510202245846</v>
      </c>
      <c r="AX12" s="11" t="n">
        <v>3.92752251100253</v>
      </c>
      <c r="AY12" s="11" t="n">
        <v>3.79332865207698</v>
      </c>
      <c r="AZ12" s="11" t="n">
        <v>3.68721875777365</v>
      </c>
      <c r="BA12" s="11" t="n">
        <v>3.60898213485854</v>
      </c>
      <c r="BB12" s="11" t="n">
        <v>3.57479384362746</v>
      </c>
      <c r="BC12" s="11" t="n">
        <v>3.56291385672629</v>
      </c>
      <c r="BD12" s="11" t="n">
        <v>3.56542120647121</v>
      </c>
      <c r="BE12" s="11" t="n">
        <v>3.58036938460624</v>
      </c>
      <c r="BF12" s="11" t="n">
        <v>3.6048385694218</v>
      </c>
      <c r="BG12" s="11" t="n">
        <v>3.63707830122404</v>
      </c>
      <c r="BH12" s="11" t="n">
        <v>3.67524677841862</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60.1841046564571</v>
      </c>
      <c r="H13" s="11" t="n">
        <v>58.9674567061176</v>
      </c>
      <c r="I13" s="11" t="n">
        <v>51.9755160115748</v>
      </c>
      <c r="J13" s="11" t="n">
        <v>54.6368157177593</v>
      </c>
      <c r="K13" s="11" t="n">
        <v>53.9628451509152</v>
      </c>
      <c r="L13" s="11" t="n">
        <v>52.19875606945</v>
      </c>
      <c r="M13" s="11" t="n">
        <v>51.0085474737028</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17.9690576138337</v>
      </c>
      <c r="AO13" s="11" t="n">
        <v>17.1097196301164</v>
      </c>
      <c r="AP13" s="11" t="n">
        <v>16.5683316421288</v>
      </c>
      <c r="AQ13" s="11" t="n">
        <v>15.935164492369</v>
      </c>
      <c r="AR13" s="11" t="n">
        <v>15.3056831090254</v>
      </c>
      <c r="AS13" s="11" t="n">
        <v>14.3857492277231</v>
      </c>
      <c r="AT13" s="11" t="n">
        <v>13.3552429340039</v>
      </c>
      <c r="AU13" s="11" t="n">
        <v>12.8512267294826</v>
      </c>
      <c r="AV13" s="11" t="n">
        <v>12.0786183038996</v>
      </c>
      <c r="AW13" s="11" t="n">
        <v>11.9196379982814</v>
      </c>
      <c r="AX13" s="11" t="n">
        <v>11.7136941932111</v>
      </c>
      <c r="AY13" s="11" t="n">
        <v>9.95712402556954</v>
      </c>
      <c r="AZ13" s="11" t="n">
        <v>9.66137497537894</v>
      </c>
      <c r="BA13" s="11" t="n">
        <v>9.29326120104681</v>
      </c>
      <c r="BB13" s="11" t="n">
        <v>8.63375399457176</v>
      </c>
      <c r="BC13" s="11" t="n">
        <v>8.42169094110745</v>
      </c>
      <c r="BD13" s="11" t="n">
        <v>7.2102991533405</v>
      </c>
      <c r="BE13" s="11" t="n">
        <v>6.45853843833472</v>
      </c>
      <c r="BF13" s="11" t="n">
        <v>6.21070350158217</v>
      </c>
      <c r="BG13" s="11" t="n">
        <v>6.20390701470723</v>
      </c>
      <c r="BH13" s="11" t="n">
        <v>6.18884220460248</v>
      </c>
      <c r="BI13" s="11" t="n">
        <v>6.19325766708502</v>
      </c>
      <c r="BJ13" s="11" t="n">
        <v>6.17739718305993</v>
      </c>
      <c r="BK13" s="11" t="n">
        <v>5.88299765710938</v>
      </c>
      <c r="BL13" s="11" t="n">
        <v>5.55152687701745</v>
      </c>
      <c r="BM13" s="11" t="n">
        <v>5.40672061157118</v>
      </c>
      <c r="BN13" s="11" t="n">
        <v>88.6651943196208</v>
      </c>
      <c r="BO13" s="11" t="n">
        <v>71.8330664926041</v>
      </c>
      <c r="BP13" s="11" t="n">
        <v>55.3304494963405</v>
      </c>
      <c r="BQ13" s="11" t="n">
        <v>40.0175437284012</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54.4634888475166</v>
      </c>
      <c r="AN14" s="11" t="n">
        <v>52.5524474817105</v>
      </c>
      <c r="AO14" s="11" t="n">
        <v>51.7793921892395</v>
      </c>
      <c r="AP14" s="11" t="n">
        <v>51.6028626360699</v>
      </c>
      <c r="AQ14" s="11" t="n">
        <v>51.279184961356</v>
      </c>
      <c r="AR14" s="11" t="n">
        <v>50.9643313421759</v>
      </c>
      <c r="AS14" s="11" t="n">
        <v>50.6171861742773</v>
      </c>
      <c r="AT14" s="11" t="n">
        <v>50.2611619150395</v>
      </c>
      <c r="AU14" s="11" t="n">
        <v>50.1088977547425</v>
      </c>
      <c r="AV14" s="11" t="n">
        <v>49.9994843077546</v>
      </c>
      <c r="AW14" s="11" t="n">
        <v>49.6475576171651</v>
      </c>
      <c r="AX14" s="11" t="n">
        <v>49.5421727805766</v>
      </c>
      <c r="AY14" s="11" t="n">
        <v>49.4011657149778</v>
      </c>
      <c r="AZ14" s="11" t="n">
        <v>49.5560483195723</v>
      </c>
      <c r="BA14" s="11" t="n">
        <v>49.6109580906331</v>
      </c>
      <c r="BB14" s="11" t="n">
        <v>49.7761323367325</v>
      </c>
      <c r="BC14" s="11" t="n">
        <v>50.3018088462281</v>
      </c>
      <c r="BD14" s="11" t="n">
        <v>51.1499478209737</v>
      </c>
      <c r="BE14" s="11" t="n">
        <v>51.5209193807177</v>
      </c>
      <c r="BF14" s="11" t="n">
        <v>51.8676762207996</v>
      </c>
      <c r="BG14" s="11" t="n">
        <v>52.2272736184506</v>
      </c>
      <c r="BH14" s="11" t="n">
        <v>52.6371485464042</v>
      </c>
      <c r="BI14" s="11" t="n">
        <v>53.2333904895633</v>
      </c>
      <c r="BJ14" s="11" t="n">
        <v>53.7050809130804</v>
      </c>
      <c r="BK14" s="11" t="n">
        <v>54.2307184033903</v>
      </c>
      <c r="BL14" s="11" t="n">
        <v>54.6441450459527</v>
      </c>
      <c r="BM14" s="11" t="n">
        <v>55.1488741639413</v>
      </c>
      <c r="BN14" s="11" t="n">
        <v>274.485706663503</v>
      </c>
      <c r="BO14" s="11" t="n">
        <v>253.230762147591</v>
      </c>
      <c r="BP14" s="11" t="n">
        <v>248.146428740046</v>
      </c>
      <c r="BQ14" s="11" t="n">
        <v>252.359766475285</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7.29888881565863</v>
      </c>
      <c r="L15" s="11" t="n">
        <v>6.74965008724044</v>
      </c>
      <c r="M15" s="11" t="n">
        <v>5.96165299469253</v>
      </c>
      <c r="N15" s="11" t="n">
        <v>6.07622611866308</v>
      </c>
      <c r="O15" s="11" t="n">
        <v>5.8165000617974</v>
      </c>
      <c r="P15" s="11" t="n">
        <v>5.17351914195232</v>
      </c>
      <c r="Q15" s="11" t="n">
        <v>4.3457864800215</v>
      </c>
      <c r="R15" s="11" t="n">
        <v>4.18559867581597</v>
      </c>
      <c r="S15" s="11" t="n">
        <v>3.32599036920681</v>
      </c>
      <c r="T15" s="11" t="n">
        <v>2.9562338693275</v>
      </c>
      <c r="U15" s="11" t="n">
        <v>2.53705519258907</v>
      </c>
      <c r="V15" s="11" t="n">
        <v>1.91003713291075</v>
      </c>
      <c r="W15" s="11" t="n">
        <v>1.22774903416888</v>
      </c>
      <c r="X15" s="11" t="n">
        <v>1.13558384043056</v>
      </c>
      <c r="Y15" s="11" t="n">
        <v>1.05006812917393</v>
      </c>
      <c r="Z15" s="11" t="n">
        <v>0.403891460082564</v>
      </c>
      <c r="AA15" s="11" t="n">
        <v>0.505346373580899</v>
      </c>
      <c r="AB15" s="11" t="n">
        <v>0.398968456201681</v>
      </c>
      <c r="AC15" s="11" t="n">
        <v>0.0720308545919073</v>
      </c>
      <c r="AD15" s="11" t="n">
        <v>-0.0617161466723142</v>
      </c>
      <c r="AE15" s="11" t="n">
        <v>0.295045210907603</v>
      </c>
      <c r="AF15" s="11" t="n">
        <v>0.0212098248235195</v>
      </c>
      <c r="AG15" s="11" t="n">
        <v>0.684754591408554</v>
      </c>
      <c r="AH15" s="11" t="n">
        <v>0.551649018647838</v>
      </c>
      <c r="AI15" s="11" t="n">
        <v>0.401275637288966</v>
      </c>
      <c r="AJ15" s="11" t="n">
        <v>0.235021339974388</v>
      </c>
      <c r="AK15" s="11" t="n">
        <v>0.541752124764709</v>
      </c>
      <c r="AL15" s="11" t="n">
        <v>1.11971398879782</v>
      </c>
      <c r="AM15" s="11" t="n">
        <v>0.772473937745446</v>
      </c>
      <c r="AN15" s="11" t="n">
        <v>0.85338772111931</v>
      </c>
      <c r="AO15" s="11" t="n">
        <v>0.941803891439629</v>
      </c>
      <c r="AP15" s="11" t="n">
        <v>1.05249354242531</v>
      </c>
      <c r="AQ15" s="11" t="n">
        <v>1.03922145167634</v>
      </c>
      <c r="AR15" s="11" t="n">
        <v>1.18494290131125</v>
      </c>
      <c r="AS15" s="11" t="n">
        <v>1.33687784699157</v>
      </c>
      <c r="AT15" s="11" t="n">
        <v>1.59385231293396</v>
      </c>
      <c r="AU15" s="11" t="n">
        <v>1.8600063221481</v>
      </c>
      <c r="AV15" s="11" t="n">
        <v>2.18002045240814</v>
      </c>
      <c r="AW15" s="11" t="n">
        <v>2.52245540334349</v>
      </c>
      <c r="AX15" s="11" t="n">
        <v>2.86269668185091</v>
      </c>
      <c r="AY15" s="11" t="n">
        <v>3.1910595289671</v>
      </c>
      <c r="AZ15" s="11" t="n">
        <v>3.48110002502241</v>
      </c>
      <c r="BA15" s="11" t="n">
        <v>3.70278702304934</v>
      </c>
      <c r="BB15" s="11" t="n">
        <v>3.92197933803403</v>
      </c>
      <c r="BC15" s="11" t="n">
        <v>4.10534913163693</v>
      </c>
      <c r="BD15" s="11" t="n">
        <v>4.29487024454034</v>
      </c>
      <c r="BE15" s="11" t="n">
        <v>4.41276908506391</v>
      </c>
      <c r="BF15" s="11" t="n">
        <v>4.48241621455591</v>
      </c>
      <c r="BG15" s="11" t="n">
        <v>4.51963787513381</v>
      </c>
      <c r="BH15" s="11" t="n">
        <v>4.51963829708352</v>
      </c>
      <c r="BI15" s="11" t="n">
        <v>4.54417530675067</v>
      </c>
      <c r="BJ15" s="11" t="n">
        <v>4.5413256061281</v>
      </c>
      <c r="BK15" s="11" t="n">
        <v>4.4904485985796</v>
      </c>
      <c r="BL15" s="11" t="n">
        <v>4.432307529618</v>
      </c>
      <c r="BM15" s="11" t="n">
        <v>4.35862189668962</v>
      </c>
      <c r="BN15" s="11" t="n">
        <v>4.73987308152751</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38.722355501135</v>
      </c>
      <c r="AN16" s="11" t="n">
        <v>28.7708459857331</v>
      </c>
      <c r="AO16" s="11" t="n">
        <v>29.9183685951003</v>
      </c>
      <c r="AP16" s="11" t="n">
        <v>25.0860761893421</v>
      </c>
      <c r="AQ16" s="11" t="n">
        <v>23.6932106458582</v>
      </c>
      <c r="AR16" s="11" t="n">
        <v>24.1598397912792</v>
      </c>
      <c r="AS16" s="11" t="n">
        <v>26.4717702297861</v>
      </c>
      <c r="AT16" s="11" t="n">
        <v>27.3917651377835</v>
      </c>
      <c r="AU16" s="11" t="n">
        <v>28.8807314759398</v>
      </c>
      <c r="AV16" s="11" t="n">
        <v>31.0108295803179</v>
      </c>
      <c r="AW16" s="11" t="n">
        <v>33.5134672574057</v>
      </c>
      <c r="AX16" s="11" t="n">
        <v>35.5933621360683</v>
      </c>
      <c r="AY16" s="11" t="n">
        <v>35.3603648672805</v>
      </c>
      <c r="AZ16" s="11" t="n">
        <v>35.4434474221695</v>
      </c>
      <c r="BA16" s="11" t="n">
        <v>35.6753260484175</v>
      </c>
      <c r="BB16" s="11" t="n">
        <v>35.9861994681658</v>
      </c>
      <c r="BC16" s="11" t="n">
        <v>36.1930872463098</v>
      </c>
      <c r="BD16" s="11" t="n">
        <v>37.4010150889347</v>
      </c>
      <c r="BE16" s="11" t="n">
        <v>38.8684750834321</v>
      </c>
      <c r="BF16" s="11" t="n">
        <v>40.0594212868192</v>
      </c>
      <c r="BG16" s="11" t="n">
        <v>41.2527869457462</v>
      </c>
      <c r="BH16" s="11" t="n">
        <v>41.9622304864358</v>
      </c>
      <c r="BI16" s="11" t="n">
        <v>42.7376236156937</v>
      </c>
      <c r="BJ16" s="11" t="n">
        <v>43.5983838495439</v>
      </c>
      <c r="BK16" s="11" t="n">
        <v>45.2736820209933</v>
      </c>
      <c r="BL16" s="11" t="n">
        <v>45.6696339274471</v>
      </c>
      <c r="BM16" s="11" t="n">
        <v>47.0117208580197</v>
      </c>
      <c r="BN16" s="11" t="n">
        <v>166.431143040453</v>
      </c>
      <c r="BO16" s="11" t="n">
        <v>130.597317280647</v>
      </c>
      <c r="BP16" s="11" t="n">
        <v>170.921471263242</v>
      </c>
      <c r="BQ16" s="11" t="n">
        <v>184.12410293526</v>
      </c>
    </row>
    <row r="17" customFormat="false" ht="13.8" hidden="false" customHeight="false" outlineLevel="0" collapsed="false">
      <c r="A17" s="11" t="s">
        <v>137</v>
      </c>
      <c r="B17" s="11" t="s">
        <v>152</v>
      </c>
      <c r="C17" s="11" t="s">
        <v>139</v>
      </c>
      <c r="D17" s="12"/>
      <c r="E17" s="11" t="n">
        <v>70.0972561713185</v>
      </c>
      <c r="F17" s="11" t="n">
        <v>70.9694415618387</v>
      </c>
      <c r="G17" s="11" t="n">
        <v>71.132294619585</v>
      </c>
      <c r="H17" s="11" t="n">
        <v>71.8122172910779</v>
      </c>
      <c r="I17" s="11" t="n">
        <v>72.2957485820843</v>
      </c>
      <c r="J17" s="11" t="n">
        <v>73.0157977582614</v>
      </c>
      <c r="K17" s="11" t="n">
        <v>73.6646952887652</v>
      </c>
      <c r="L17" s="11" t="n">
        <v>73.2585135370301</v>
      </c>
      <c r="M17" s="11" t="n">
        <v>72.857866554095</v>
      </c>
      <c r="N17" s="11" t="n">
        <v>70.3376634874946</v>
      </c>
      <c r="O17" s="11" t="n">
        <v>67.5493303656442</v>
      </c>
      <c r="P17" s="11" t="n">
        <v>65.2372960190355</v>
      </c>
      <c r="Q17" s="11" t="n">
        <v>64.7778902640439</v>
      </c>
      <c r="R17" s="11" t="n">
        <v>61.3375599734718</v>
      </c>
      <c r="S17" s="11" t="n">
        <v>56.672189154327</v>
      </c>
      <c r="T17" s="11" t="n">
        <v>54.4072424596031</v>
      </c>
      <c r="U17" s="11" t="n">
        <v>52.4213760930319</v>
      </c>
      <c r="V17" s="11" t="n">
        <v>48.8156230762384</v>
      </c>
      <c r="W17" s="11" t="n">
        <v>43.9393870887183</v>
      </c>
      <c r="X17" s="11" t="n">
        <v>39.8636352384587</v>
      </c>
      <c r="Y17" s="11" t="n">
        <v>34.6261847227992</v>
      </c>
      <c r="Z17" s="11" t="n">
        <v>32.3276483620429</v>
      </c>
      <c r="AA17" s="11" t="n">
        <v>30.6018352790237</v>
      </c>
      <c r="AB17" s="11" t="n">
        <v>27.2165028540719</v>
      </c>
      <c r="AC17" s="11" t="n">
        <v>24.7648403332128</v>
      </c>
      <c r="AD17" s="11" t="n">
        <v>23.9395272811453</v>
      </c>
      <c r="AE17" s="11" t="n">
        <v>22.7629858056435</v>
      </c>
      <c r="AF17" s="11" t="n">
        <v>23.1009316290312</v>
      </c>
      <c r="AG17" s="11" t="n">
        <v>22.9437825900192</v>
      </c>
      <c r="AH17" s="11" t="n">
        <v>22.4612195704563</v>
      </c>
      <c r="AI17" s="11" t="n">
        <v>20.9554957607479</v>
      </c>
      <c r="AJ17" s="11" t="n">
        <v>19.8902591743334</v>
      </c>
      <c r="AK17" s="11" t="n">
        <v>19.7926657409702</v>
      </c>
      <c r="AL17" s="11" t="n">
        <v>19.6853537342984</v>
      </c>
      <c r="AM17" s="11" t="n">
        <v>18.8578119235528</v>
      </c>
      <c r="AN17" s="11" t="n">
        <v>18.4909497183457</v>
      </c>
      <c r="AO17" s="11" t="n">
        <v>18.0743866765582</v>
      </c>
      <c r="AP17" s="11" t="n">
        <v>18.3867932194325</v>
      </c>
      <c r="AQ17" s="11" t="n">
        <v>17.415548219961</v>
      </c>
      <c r="AR17" s="11" t="n">
        <v>16.5614517798263</v>
      </c>
      <c r="AS17" s="11" t="n">
        <v>15.7571239965547</v>
      </c>
      <c r="AT17" s="11" t="n">
        <v>15.0464164744527</v>
      </c>
      <c r="AU17" s="11" t="n">
        <v>14.4193129434863</v>
      </c>
      <c r="AV17" s="11" t="n">
        <v>13.8675624991065</v>
      </c>
      <c r="AW17" s="11" t="n">
        <v>13.3857901447412</v>
      </c>
      <c r="AX17" s="11" t="n">
        <v>12.9662325038224</v>
      </c>
      <c r="AY17" s="11" t="n">
        <v>12.6009454314573</v>
      </c>
      <c r="AZ17" s="11" t="n">
        <v>12.2821464538741</v>
      </c>
      <c r="BA17" s="11" t="n">
        <v>12.0057348341887</v>
      </c>
      <c r="BB17" s="11" t="n">
        <v>11.7679529393042</v>
      </c>
      <c r="BC17" s="11" t="n">
        <v>11.5657370193379</v>
      </c>
      <c r="BD17" s="11" t="n">
        <v>11.4522865372673</v>
      </c>
      <c r="BE17" s="11" t="n">
        <v>11.3683591498676</v>
      </c>
      <c r="BF17" s="11" t="n">
        <v>11.3114992126857</v>
      </c>
      <c r="BG17" s="11" t="n">
        <v>11.2794735223215</v>
      </c>
      <c r="BH17" s="11" t="n">
        <v>11.2710118206388</v>
      </c>
      <c r="BI17" s="11" t="n">
        <v>11.2828084467178</v>
      </c>
      <c r="BJ17" s="11" t="n">
        <v>11.3130074581611</v>
      </c>
      <c r="BK17" s="11" t="n">
        <v>11.3600862871595</v>
      </c>
      <c r="BL17" s="11" t="n">
        <v>11.4228448054899</v>
      </c>
      <c r="BM17" s="11" t="n">
        <v>11.5001757254339</v>
      </c>
      <c r="BN17" s="11" t="n">
        <v>93.4952952721876</v>
      </c>
      <c r="BO17" s="11" t="n">
        <v>79.1998534142811</v>
      </c>
      <c r="BP17" s="11" t="n">
        <v>65.1026770330016</v>
      </c>
      <c r="BQ17" s="11" t="n">
        <v>58.1600704799657</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43.1402128896883</v>
      </c>
      <c r="AO18" s="11" t="n">
        <v>43.1940472169717</v>
      </c>
      <c r="AP18" s="11" t="n">
        <v>43.2363065820922</v>
      </c>
      <c r="AQ18" s="11" t="n">
        <v>42.2709164386031</v>
      </c>
      <c r="AR18" s="11" t="n">
        <v>42.5434891302543</v>
      </c>
      <c r="AS18" s="11" t="n">
        <v>41.5059989350451</v>
      </c>
      <c r="AT18" s="11" t="n">
        <v>41.4250921794962</v>
      </c>
      <c r="AU18" s="11" t="n">
        <v>41.0573135803191</v>
      </c>
      <c r="AV18" s="11" t="n">
        <v>40.3343417781934</v>
      </c>
      <c r="AW18" s="11" t="n">
        <v>39.7979693236003</v>
      </c>
      <c r="AX18" s="11" t="n">
        <v>39.588186794336</v>
      </c>
      <c r="AY18" s="11" t="n">
        <v>38.9662199330678</v>
      </c>
      <c r="AZ18" s="11" t="n">
        <v>38.1767336060911</v>
      </c>
      <c r="BA18" s="11" t="n">
        <v>38.0000345305752</v>
      </c>
      <c r="BB18" s="11" t="n">
        <v>38.0312872931801</v>
      </c>
      <c r="BC18" s="11" t="n">
        <v>37.7420771242668</v>
      </c>
      <c r="BD18" s="11" t="n">
        <v>38.2142986658243</v>
      </c>
      <c r="BE18" s="11" t="n">
        <v>38.7407063234431</v>
      </c>
      <c r="BF18" s="11" t="n">
        <v>38.6472729826362</v>
      </c>
      <c r="BG18" s="11" t="n">
        <v>38.3165552190393</v>
      </c>
      <c r="BH18" s="11" t="n">
        <v>37.8210359734901</v>
      </c>
      <c r="BI18" s="11" t="n">
        <v>37.2973088660182</v>
      </c>
      <c r="BJ18" s="11" t="n">
        <v>36.5453819974142</v>
      </c>
      <c r="BK18" s="11" t="n">
        <v>36.7309064864111</v>
      </c>
      <c r="BL18" s="11" t="n">
        <v>35.5528453974372</v>
      </c>
      <c r="BM18" s="11" t="n">
        <v>34.9608183140601</v>
      </c>
      <c r="BN18" s="11" t="n">
        <v>211.376498692135</v>
      </c>
      <c r="BO18" s="11" t="n">
        <v>208.802810263718</v>
      </c>
      <c r="BP18" s="11" t="n">
        <v>196.863451435289</v>
      </c>
      <c r="BQ18" s="11" t="n">
        <v>190.728403937289</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333.205764375449</v>
      </c>
      <c r="AN19" s="11" t="n">
        <v>329.845039046507</v>
      </c>
      <c r="AO19" s="11" t="n">
        <v>328.272445930142</v>
      </c>
      <c r="AP19" s="11" t="n">
        <v>321.708725159785</v>
      </c>
      <c r="AQ19" s="11" t="n">
        <v>314.299121881258</v>
      </c>
      <c r="AR19" s="11" t="n">
        <v>308.462657449374</v>
      </c>
      <c r="AS19" s="11" t="n">
        <v>302.362788920325</v>
      </c>
      <c r="AT19" s="11" t="n">
        <v>296.454016959587</v>
      </c>
      <c r="AU19" s="11" t="n">
        <v>292.083165846717</v>
      </c>
      <c r="AV19" s="11" t="n">
        <v>288.499835178052</v>
      </c>
      <c r="AW19" s="11" t="n">
        <v>286.294774303218</v>
      </c>
      <c r="AX19" s="11" t="n">
        <v>284.819084341156</v>
      </c>
      <c r="AY19" s="11" t="n">
        <v>279.825137415649</v>
      </c>
      <c r="AZ19" s="11" t="n">
        <v>276.70069207228</v>
      </c>
      <c r="BA19" s="11" t="n">
        <v>274.398697114386</v>
      </c>
      <c r="BB19" s="11" t="n">
        <v>272.621552699253</v>
      </c>
      <c r="BC19" s="11" t="n">
        <v>271.382534244651</v>
      </c>
      <c r="BD19" s="11" t="n">
        <v>271.731471998855</v>
      </c>
      <c r="BE19" s="11" t="n">
        <v>272.251691812101</v>
      </c>
      <c r="BF19" s="11" t="n">
        <v>272.48506716829</v>
      </c>
      <c r="BG19" s="11" t="n">
        <v>273.06044503633</v>
      </c>
      <c r="BH19" s="11" t="n">
        <v>272.807284085832</v>
      </c>
      <c r="BI19" s="11" t="n">
        <v>273.127261755289</v>
      </c>
      <c r="BJ19" s="11" t="n">
        <v>273.379098804112</v>
      </c>
      <c r="BK19" s="11" t="n">
        <v>275.156395203653</v>
      </c>
      <c r="BL19" s="11" t="n">
        <v>274.043302206898</v>
      </c>
      <c r="BM19" s="11" t="n">
        <v>274.779590897708</v>
      </c>
      <c r="BN19" s="11" t="n">
        <v>1654.96612304114</v>
      </c>
      <c r="BO19" s="11" t="n">
        <v>1513.66175105726</v>
      </c>
      <c r="BP19" s="11" t="n">
        <v>1416.13952331036</v>
      </c>
      <c r="BQ19" s="11" t="n">
        <v>1362.38594786925</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141.138614388231</v>
      </c>
      <c r="L20" s="11" t="n">
        <v>138.524436182827</v>
      </c>
      <c r="M20" s="11" t="n">
        <v>135.462212228555</v>
      </c>
      <c r="N20" s="11" t="n">
        <v>129.859065263225</v>
      </c>
      <c r="O20" s="11" t="n">
        <v>123.920486839629</v>
      </c>
      <c r="P20" s="11" t="n">
        <v>118.64001130189</v>
      </c>
      <c r="Q20" s="11" t="n">
        <v>116.77678020067</v>
      </c>
      <c r="R20" s="11" t="n">
        <v>111.853160224235</v>
      </c>
      <c r="S20" s="11" t="n">
        <v>107.03393682204</v>
      </c>
      <c r="T20" s="11" t="n">
        <v>102.664117491926</v>
      </c>
      <c r="U20" s="11" t="n">
        <v>99.2297893209561</v>
      </c>
      <c r="V20" s="11" t="n">
        <v>94.775315317842</v>
      </c>
      <c r="W20" s="11" t="n">
        <v>88.4981359307023</v>
      </c>
      <c r="X20" s="11" t="n">
        <v>83.9244036183387</v>
      </c>
      <c r="Y20" s="11" t="n">
        <v>78.667322755185</v>
      </c>
      <c r="Z20" s="11" t="n">
        <v>75.6712751364844</v>
      </c>
      <c r="AA20" s="11" t="n">
        <v>73.8280122064821</v>
      </c>
      <c r="AB20" s="11" t="n">
        <v>68.980177011707</v>
      </c>
      <c r="AC20" s="11" t="n">
        <v>66.6821086932931</v>
      </c>
      <c r="AD20" s="11" t="n">
        <v>65.4783580021182</v>
      </c>
      <c r="AE20" s="11" t="n">
        <v>63.0801894570004</v>
      </c>
      <c r="AF20" s="11" t="n">
        <v>63.35861040571</v>
      </c>
      <c r="AG20" s="11" t="n">
        <v>62.7602337118584</v>
      </c>
      <c r="AH20" s="11" t="n">
        <v>62.4134940187284</v>
      </c>
      <c r="AI20" s="11" t="n">
        <v>59.9984424095153</v>
      </c>
      <c r="AJ20" s="11" t="n">
        <v>58.7276734594613</v>
      </c>
      <c r="AK20" s="11" t="n">
        <v>58.0898467243932</v>
      </c>
      <c r="AL20" s="11" t="n">
        <v>57.0200585910277</v>
      </c>
      <c r="AM20" s="11" t="n">
        <v>55.5172727235413</v>
      </c>
      <c r="AN20" s="11" t="n">
        <v>54.6899205809672</v>
      </c>
      <c r="AO20" s="11" t="n">
        <v>54.0164323760566</v>
      </c>
      <c r="AP20" s="11" t="n">
        <v>54.1501978596069</v>
      </c>
      <c r="AQ20" s="11" t="n">
        <v>52.9312219279937</v>
      </c>
      <c r="AR20" s="11" t="n">
        <v>51.9269969366244</v>
      </c>
      <c r="AS20" s="11" t="n">
        <v>50.9209282372141</v>
      </c>
      <c r="AT20" s="11" t="n">
        <v>49.9783136794281</v>
      </c>
      <c r="AU20" s="11" t="n">
        <v>49.0429376238471</v>
      </c>
      <c r="AV20" s="11" t="n">
        <v>48.1921865046271</v>
      </c>
      <c r="AW20" s="11" t="n">
        <v>47.457565350538</v>
      </c>
      <c r="AX20" s="11" t="n">
        <v>46.7327031475927</v>
      </c>
      <c r="AY20" s="11" t="n">
        <v>46.0114752575654</v>
      </c>
      <c r="AZ20" s="11" t="n">
        <v>45.3248957509116</v>
      </c>
      <c r="BA20" s="11" t="n">
        <v>44.7383329762455</v>
      </c>
      <c r="BB20" s="11" t="n">
        <v>44.1588851607981</v>
      </c>
      <c r="BC20" s="11" t="n">
        <v>43.6378077792597</v>
      </c>
      <c r="BD20" s="11" t="n">
        <v>43.1280378513793</v>
      </c>
      <c r="BE20" s="11" t="n">
        <v>42.6617685600963</v>
      </c>
      <c r="BF20" s="11" t="n">
        <v>42.257668961349</v>
      </c>
      <c r="BG20" s="11" t="n">
        <v>41.8711628303386</v>
      </c>
      <c r="BH20" s="11" t="n">
        <v>41.5009684999814</v>
      </c>
      <c r="BI20" s="11" t="n">
        <v>41.1476376769034</v>
      </c>
      <c r="BJ20" s="11" t="n">
        <v>40.8054723806999</v>
      </c>
      <c r="BK20" s="11" t="n">
        <v>40.4844565602874</v>
      </c>
      <c r="BL20" s="11" t="n">
        <v>40.1876887729679</v>
      </c>
      <c r="BM20" s="11" t="n">
        <v>39.9126729700904</v>
      </c>
      <c r="BN20" s="11" t="n">
        <v>275.3938821312</v>
      </c>
      <c r="BO20" s="11" t="n">
        <v>254.800398405107</v>
      </c>
      <c r="BP20" s="11" t="n">
        <v>233.718826011235</v>
      </c>
      <c r="BQ20" s="11" t="n">
        <v>218.324832327779</v>
      </c>
    </row>
    <row r="21" customFormat="false" ht="13.8" hidden="false" customHeight="false" outlineLevel="0" collapsed="false">
      <c r="A21" s="11" t="s">
        <v>156</v>
      </c>
      <c r="B21" s="11" t="s">
        <v>140</v>
      </c>
      <c r="C21" s="11" t="s">
        <v>139</v>
      </c>
      <c r="D21" s="12"/>
      <c r="E21" s="11" t="n">
        <v>44.3002234775336</v>
      </c>
      <c r="F21" s="11" t="n">
        <v>44.4052277252299</v>
      </c>
      <c r="G21" s="11" t="n">
        <v>39.9378274497614</v>
      </c>
      <c r="H21" s="11" t="n">
        <v>36.1377812173721</v>
      </c>
      <c r="I21" s="11" t="n">
        <v>36.733575590136</v>
      </c>
      <c r="J21" s="11" t="n">
        <v>35.5262647513158</v>
      </c>
      <c r="K21" s="11" t="n">
        <v>35.5202840220701</v>
      </c>
      <c r="L21" s="11" t="n">
        <v>35.7888793937191</v>
      </c>
      <c r="M21" s="11" t="n">
        <v>35.8446693081235</v>
      </c>
      <c r="N21" s="11" t="n">
        <v>27.2931949805531</v>
      </c>
      <c r="O21" s="11" t="n">
        <v>26.7745080049933</v>
      </c>
      <c r="P21" s="11" t="n">
        <v>25.5332295216333</v>
      </c>
      <c r="Q21" s="11" t="n">
        <v>24.0080781455952</v>
      </c>
      <c r="R21" s="11" t="n">
        <v>23.6493473576149</v>
      </c>
      <c r="S21" s="11" t="n">
        <v>24.1732056787632</v>
      </c>
      <c r="T21" s="11" t="n">
        <v>23.2738708129377</v>
      </c>
      <c r="U21" s="11" t="n">
        <v>22.3723859735233</v>
      </c>
      <c r="V21" s="11" t="n">
        <v>22.3871776205364</v>
      </c>
      <c r="W21" s="11" t="n">
        <v>21.8687745509561</v>
      </c>
      <c r="X21" s="11" t="n">
        <v>20.4093851389545</v>
      </c>
      <c r="Y21" s="11" t="n">
        <v>20.850592457761</v>
      </c>
      <c r="Z21" s="11" t="n">
        <v>20.1180492670757</v>
      </c>
      <c r="AA21" s="11" t="n">
        <v>20.0301007556531</v>
      </c>
      <c r="AB21" s="11" t="n">
        <v>20.07578522778</v>
      </c>
      <c r="AC21" s="11" t="n">
        <v>20.5757861988295</v>
      </c>
      <c r="AD21" s="11" t="n">
        <v>20.4522889297316</v>
      </c>
      <c r="AE21" s="11" t="n">
        <v>20.0055547697637</v>
      </c>
      <c r="AF21" s="11" t="n">
        <v>20.2878791430463</v>
      </c>
      <c r="AG21" s="11" t="n">
        <v>20.1618254992518</v>
      </c>
      <c r="AH21" s="11" t="n">
        <v>20.2029843423827</v>
      </c>
      <c r="AI21" s="11" t="n">
        <v>18.9789878158805</v>
      </c>
      <c r="AJ21" s="11" t="n">
        <v>19.343581552368</v>
      </c>
      <c r="AK21" s="11" t="n">
        <v>18.5808205022007</v>
      </c>
      <c r="AL21" s="11" t="n">
        <v>18.4485657982639</v>
      </c>
      <c r="AM21" s="11" t="n">
        <v>18.7553341449773</v>
      </c>
      <c r="AN21" s="11" t="n">
        <v>18.7423378264717</v>
      </c>
      <c r="AO21" s="11" t="n">
        <v>18.7256565988423</v>
      </c>
      <c r="AP21" s="11" t="n">
        <v>18.6787659690297</v>
      </c>
      <c r="AQ21" s="11" t="n">
        <v>18.5392164004719</v>
      </c>
      <c r="AR21" s="11" t="n">
        <v>18.5143567029015</v>
      </c>
      <c r="AS21" s="11" t="n">
        <v>18.4527621597031</v>
      </c>
      <c r="AT21" s="11" t="n">
        <v>18.3736905575892</v>
      </c>
      <c r="AU21" s="11" t="n">
        <v>18.2325520142589</v>
      </c>
      <c r="AV21" s="11" t="n">
        <v>18.1406817218077</v>
      </c>
      <c r="AW21" s="11" t="n">
        <v>18.0644440705941</v>
      </c>
      <c r="AX21" s="11" t="n">
        <v>17.9587602204149</v>
      </c>
      <c r="AY21" s="11" t="n">
        <v>17.8498137955513</v>
      </c>
      <c r="AZ21" s="11" t="n">
        <v>17.6614807011893</v>
      </c>
      <c r="BA21" s="11" t="n">
        <v>17.5836010799384</v>
      </c>
      <c r="BB21" s="11" t="n">
        <v>17.4848747187891</v>
      </c>
      <c r="BC21" s="11" t="n">
        <v>17.410956058353</v>
      </c>
      <c r="BD21" s="11" t="n">
        <v>17.3416111264904</v>
      </c>
      <c r="BE21" s="11" t="n">
        <v>17.2833004416242</v>
      </c>
      <c r="BF21" s="11" t="n">
        <v>17.230036180946</v>
      </c>
      <c r="BG21" s="11" t="n">
        <v>17.1744674721915</v>
      </c>
      <c r="BH21" s="11" t="n">
        <v>17.1170749323111</v>
      </c>
      <c r="BI21" s="11" t="n">
        <v>17.0644928346474</v>
      </c>
      <c r="BJ21" s="11" t="n">
        <v>17.0088519278497</v>
      </c>
      <c r="BK21" s="11" t="n">
        <v>16.9584421832802</v>
      </c>
      <c r="BL21" s="11" t="n">
        <v>16.8992877718982</v>
      </c>
      <c r="BM21" s="11" t="n">
        <v>16.8469965451566</v>
      </c>
      <c r="BN21" s="11" t="n">
        <v>93.3506603375849</v>
      </c>
      <c r="BO21" s="11" t="n">
        <v>92.1125778349245</v>
      </c>
      <c r="BP21" s="11" t="n">
        <v>89.6751805095572</v>
      </c>
      <c r="BQ21" s="11" t="n">
        <v>87.104343425195</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7.05228750474408</v>
      </c>
      <c r="Q22" s="11" t="n">
        <v>7.4688138300499</v>
      </c>
      <c r="R22" s="11" t="n">
        <v>8.25870624154292</v>
      </c>
      <c r="S22" s="11" t="n">
        <v>7.36937772653388</v>
      </c>
      <c r="T22" s="11" t="n">
        <v>8.09555591302204</v>
      </c>
      <c r="U22" s="11" t="n">
        <v>8.88703175483168</v>
      </c>
      <c r="V22" s="11" t="n">
        <v>9.24213661121652</v>
      </c>
      <c r="W22" s="11" t="n">
        <v>9.58107153266835</v>
      </c>
      <c r="X22" s="11" t="n">
        <v>10.0020094196355</v>
      </c>
      <c r="Y22" s="11" t="n">
        <v>10.4979550302191</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4.09884472060176</v>
      </c>
      <c r="AU22" s="11" t="n">
        <v>3.89091088317771</v>
      </c>
      <c r="AV22" s="11" t="n">
        <v>3.70734813175857</v>
      </c>
      <c r="AW22" s="11" t="n">
        <v>3.53638632023551</v>
      </c>
      <c r="AX22" s="11" t="n">
        <v>3.38044042697567</v>
      </c>
      <c r="AY22" s="11" t="n">
        <v>3.24624656805012</v>
      </c>
      <c r="AZ22" s="11" t="n">
        <v>3.14013667374679</v>
      </c>
      <c r="BA22" s="11" t="n">
        <v>3.06190005083168</v>
      </c>
      <c r="BB22" s="11" t="n">
        <v>3.0277117596006</v>
      </c>
      <c r="BC22" s="11" t="n">
        <v>3.01583177269943</v>
      </c>
      <c r="BD22" s="11" t="n">
        <v>3.01833912244435</v>
      </c>
      <c r="BE22" s="11" t="n">
        <v>3.03328730057938</v>
      </c>
      <c r="BF22" s="11" t="n">
        <v>3.05775648539494</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1.48366130882975</v>
      </c>
      <c r="F23" s="11" t="n">
        <v>1.24305334298279</v>
      </c>
      <c r="G23" s="11" t="n">
        <v>0.617640551647897</v>
      </c>
      <c r="H23" s="11" t="n">
        <v>0.538700846476154</v>
      </c>
      <c r="I23" s="11" t="n">
        <v>0.546409279966551</v>
      </c>
      <c r="J23" s="11" t="n">
        <v>0.533270281772292</v>
      </c>
      <c r="K23" s="11" t="n">
        <v>0.531928867885412</v>
      </c>
      <c r="L23" s="11" t="n">
        <v>0.44692564402011</v>
      </c>
      <c r="M23" s="11" t="n">
        <v>0.43528910732139</v>
      </c>
      <c r="N23" s="11" t="n">
        <v>0.412312802276656</v>
      </c>
      <c r="O23" s="11" t="n">
        <v>0.51862161306472</v>
      </c>
      <c r="P23" s="11" t="n">
        <v>0.432138729457178</v>
      </c>
      <c r="Q23" s="11" t="n">
        <v>0.364067786446408</v>
      </c>
      <c r="R23" s="11" t="n">
        <v>0.318513971049458</v>
      </c>
      <c r="S23" s="11" t="n">
        <v>0.402942811428176</v>
      </c>
      <c r="T23" s="11" t="n">
        <v>0.368307653921605</v>
      </c>
      <c r="U23" s="11" t="n">
        <v>0.369821205860997</v>
      </c>
      <c r="V23" s="11" t="n">
        <v>0.277694286963564</v>
      </c>
      <c r="W23" s="11" t="n">
        <v>0.255311612882481</v>
      </c>
      <c r="X23" s="11" t="n">
        <v>0.195240026958578</v>
      </c>
      <c r="Y23" s="11" t="n">
        <v>0.281496039558142</v>
      </c>
      <c r="Z23" s="11" t="n">
        <v>0.399303588048535</v>
      </c>
      <c r="AA23" s="11" t="n">
        <v>0.243138181819986</v>
      </c>
      <c r="AB23" s="11" t="n">
        <v>0.294217429839836</v>
      </c>
      <c r="AC23" s="11" t="n">
        <v>0.23782779605641</v>
      </c>
      <c r="AD23" s="11" t="n">
        <v>0.274427975434271</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0.145322964863699</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0.788373788456026</v>
      </c>
      <c r="BP23" s="11" t="n">
        <v>0.788373788456026</v>
      </c>
      <c r="BQ23" s="11" t="n">
        <v>0.788373788456026</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0.426418736992623</v>
      </c>
      <c r="AE24" s="11" t="n">
        <v>0.458386532676318</v>
      </c>
      <c r="AF24" s="11" t="n">
        <v>0.460093295564997</v>
      </c>
      <c r="AG24" s="11" t="n">
        <v>0.565037427403676</v>
      </c>
      <c r="AH24" s="11" t="n">
        <v>0.49719676355469</v>
      </c>
      <c r="AI24" s="11" t="n">
        <v>0.425406162786779</v>
      </c>
      <c r="AJ24" s="11" t="n">
        <v>0.38749956929647</v>
      </c>
      <c r="AK24" s="11" t="n">
        <v>0.333442729385777</v>
      </c>
      <c r="AL24" s="11" t="n">
        <v>0.301791676439176</v>
      </c>
      <c r="AM24" s="11" t="n">
        <v>0.307854862676676</v>
      </c>
      <c r="AN24" s="11" t="n">
        <v>0.314290204270113</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0.372815184884234</v>
      </c>
      <c r="AW24" s="11" t="n">
        <v>0.380977508595361</v>
      </c>
      <c r="AX24" s="11" t="n">
        <v>0.389343890399265</v>
      </c>
      <c r="AY24" s="11" t="n">
        <v>0.389343890399265</v>
      </c>
      <c r="AZ24" s="11" t="n">
        <v>0.389343890399265</v>
      </c>
      <c r="BA24" s="11" t="n">
        <v>0.389343890399265</v>
      </c>
      <c r="BB24" s="11" t="n">
        <v>0.389343890399265</v>
      </c>
      <c r="BC24" s="11" t="n">
        <v>0.389343890399265</v>
      </c>
      <c r="BD24" s="11" t="n">
        <v>0.389343890399265</v>
      </c>
      <c r="BE24" s="11" t="n">
        <v>0.389343890399265</v>
      </c>
      <c r="BF24" s="11" t="n">
        <v>0.389343890399265</v>
      </c>
      <c r="BG24" s="11" t="n">
        <v>0.389343890399265</v>
      </c>
      <c r="BH24" s="11" t="n">
        <v>0.389343890399265</v>
      </c>
      <c r="BI24" s="11" t="n">
        <v>0.389343890399265</v>
      </c>
      <c r="BJ24" s="11" t="n">
        <v>0.389343890399265</v>
      </c>
      <c r="BK24" s="11" t="n">
        <v>0.389343890399265</v>
      </c>
      <c r="BL24" s="11" t="n">
        <v>0.389343890399265</v>
      </c>
      <c r="BM24" s="11" t="n">
        <v>0.389343890399265</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32.3429075604533</v>
      </c>
      <c r="H27" s="11" t="n">
        <v>32.2867215516015</v>
      </c>
      <c r="I27" s="11" t="n">
        <v>32.4376625870691</v>
      </c>
      <c r="J27" s="11" t="n">
        <v>32.2069060308038</v>
      </c>
      <c r="K27" s="11" t="n">
        <v>32.8262420298166</v>
      </c>
      <c r="L27" s="11" t="n">
        <v>32.5783502819476</v>
      </c>
      <c r="M27" s="11" t="n">
        <v>32.6734220770182</v>
      </c>
      <c r="N27" s="11" t="n">
        <v>32.5130465142707</v>
      </c>
      <c r="O27" s="11" t="n">
        <v>31.5208846643531</v>
      </c>
      <c r="P27" s="11" t="n">
        <v>29.9473573096137</v>
      </c>
      <c r="Q27" s="11" t="n">
        <v>29.4891220094733</v>
      </c>
      <c r="R27" s="11" t="n">
        <v>29.7648113387233</v>
      </c>
      <c r="S27" s="11" t="n">
        <v>30.0129038331228</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27.8900628145383</v>
      </c>
      <c r="AK27" s="11" t="n">
        <v>27.7847764250513</v>
      </c>
      <c r="AL27" s="11" t="n">
        <v>27.2034581433579</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16.3728090246473</v>
      </c>
      <c r="F28" s="11" t="n">
        <v>16.3652204738222</v>
      </c>
      <c r="G28" s="11" t="n">
        <v>15.7880323748618</v>
      </c>
      <c r="H28" s="11" t="n">
        <v>15.3872752709717</v>
      </c>
      <c r="I28" s="11" t="n">
        <v>15.9578378738726</v>
      </c>
      <c r="J28" s="11" t="n">
        <v>16.0073151624586</v>
      </c>
      <c r="K28" s="11" t="n">
        <v>16.2385566670362</v>
      </c>
      <c r="L28" s="11" t="n">
        <v>16.4227129027924</v>
      </c>
      <c r="M28" s="11" t="n">
        <v>16.2079933627153</v>
      </c>
      <c r="N28" s="11" t="n">
        <v>16.2277371694367</v>
      </c>
      <c r="O28" s="11" t="n">
        <v>15.5059070589611</v>
      </c>
      <c r="P28" s="11" t="n">
        <v>14.9262809717382</v>
      </c>
      <c r="Q28" s="11" t="n">
        <v>14.9166492139828</v>
      </c>
      <c r="R28" s="11" t="n">
        <v>14.8411843098522</v>
      </c>
      <c r="S28" s="11" t="n">
        <v>14.6249013723468</v>
      </c>
      <c r="T28" s="11" t="n">
        <v>14.319878479678</v>
      </c>
      <c r="U28" s="11" t="n">
        <v>13.9484125589319</v>
      </c>
      <c r="V28" s="11" t="n">
        <v>13.6898865319666</v>
      </c>
      <c r="W28" s="11" t="n">
        <v>13.5903470722667</v>
      </c>
      <c r="X28" s="11" t="n">
        <v>13.5319011034865</v>
      </c>
      <c r="Y28" s="11" t="n">
        <v>13.7591024678466</v>
      </c>
      <c r="Z28" s="11" t="n">
        <v>13.7877731979964</v>
      </c>
      <c r="AA28" s="11" t="n">
        <v>13.6595715469706</v>
      </c>
      <c r="AB28" s="11" t="n">
        <v>13.7111904939868</v>
      </c>
      <c r="AC28" s="11" t="n">
        <v>14.2109240717554</v>
      </c>
      <c r="AD28" s="11" t="n">
        <v>14.1380536664966</v>
      </c>
      <c r="AE28" s="11" t="n">
        <v>13.813109346583</v>
      </c>
      <c r="AF28" s="11" t="n">
        <v>14.0170958536443</v>
      </c>
      <c r="AG28" s="11" t="n">
        <v>13.8566444133239</v>
      </c>
      <c r="AH28" s="11" t="n">
        <v>13.9485106648271</v>
      </c>
      <c r="AI28" s="11" t="n">
        <v>13.1569075442857</v>
      </c>
      <c r="AJ28" s="11" t="n">
        <v>13.478563412585</v>
      </c>
      <c r="AK28" s="11" t="n">
        <v>12.7290815643072</v>
      </c>
      <c r="AL28" s="11" t="n">
        <v>12.5191024192604</v>
      </c>
      <c r="AM28" s="11" t="n">
        <v>12.5045953938355</v>
      </c>
      <c r="AN28" s="11" t="n">
        <v>12.5098559697839</v>
      </c>
      <c r="AO28" s="11" t="n">
        <v>12.5217901091835</v>
      </c>
      <c r="AP28" s="11" t="n">
        <v>12.5376828555556</v>
      </c>
      <c r="AQ28" s="11" t="n">
        <v>12.5541577344059</v>
      </c>
      <c r="AR28" s="11" t="n">
        <v>12.5678684965442</v>
      </c>
      <c r="AS28" s="11" t="n">
        <v>12.5756416332501</v>
      </c>
      <c r="AT28" s="11" t="n">
        <v>12.5570215325553</v>
      </c>
      <c r="AU28" s="11" t="n">
        <v>12.5324913014387</v>
      </c>
      <c r="AV28" s="11" t="n">
        <v>12.5034970082266</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62.7871806981944</v>
      </c>
      <c r="BP28" s="11" t="n">
        <v>62.1470433189398</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78.7488072440016</v>
      </c>
      <c r="AO29" s="11" t="n">
        <v>79.423988716766</v>
      </c>
      <c r="AP29" s="11" t="n">
        <v>80.7071424469743</v>
      </c>
      <c r="AQ29" s="11" t="n">
        <v>80.462481577198</v>
      </c>
      <c r="AR29" s="11" t="n">
        <v>79.6860044100197</v>
      </c>
      <c r="AS29" s="11" t="n">
        <v>79.4689907135878</v>
      </c>
      <c r="AT29" s="11" t="n">
        <v>79.4144493889752</v>
      </c>
      <c r="AU29" s="11" t="n">
        <v>79.3658899122227</v>
      </c>
      <c r="AV29" s="11" t="n">
        <v>79.3649975431309</v>
      </c>
      <c r="AW29" s="11" t="n">
        <v>79.3827280434039</v>
      </c>
      <c r="AX29" s="11" t="n">
        <v>79.449732596988</v>
      </c>
      <c r="AY29" s="11" t="n">
        <v>79.9863366847005</v>
      </c>
      <c r="AZ29" s="11" t="n">
        <v>80.1347056235336</v>
      </c>
      <c r="BA29" s="11" t="n">
        <v>80.4140741398501</v>
      </c>
      <c r="BB29" s="11" t="n">
        <v>80.7076259992304</v>
      </c>
      <c r="BC29" s="11" t="n">
        <v>81.0445387316423</v>
      </c>
      <c r="BD29" s="11" t="n">
        <v>81.465675199249</v>
      </c>
      <c r="BE29" s="11" t="n">
        <v>81.6934993749359</v>
      </c>
      <c r="BF29" s="11" t="n">
        <v>81.8375410270364</v>
      </c>
      <c r="BG29" s="11" t="n">
        <v>82.17383834148</v>
      </c>
      <c r="BH29" s="11" t="n">
        <v>82.1796541342007</v>
      </c>
      <c r="BI29" s="11" t="n">
        <v>82.2907048234251</v>
      </c>
      <c r="BJ29" s="11" t="n">
        <v>82.5409133742057</v>
      </c>
      <c r="BK29" s="11" t="n">
        <v>82.5977199239398</v>
      </c>
      <c r="BL29" s="11" t="n">
        <v>82.5567680408035</v>
      </c>
      <c r="BM29" s="11" t="n">
        <v>82.5095817030049</v>
      </c>
      <c r="BN29" s="11" t="n">
        <v>386.439104620745</v>
      </c>
      <c r="BO29" s="11" t="n">
        <v>398.397816002003</v>
      </c>
      <c r="BP29" s="11" t="n">
        <v>398.318500491757</v>
      </c>
      <c r="BQ29" s="11" t="n">
        <v>405.325413444908</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1.09531900072004</v>
      </c>
      <c r="R30" s="11" t="n">
        <v>1.01289196739384</v>
      </c>
      <c r="S30" s="11" t="n">
        <v>0.982359313650173</v>
      </c>
      <c r="T30" s="11" t="n">
        <v>0.897591964388521</v>
      </c>
      <c r="U30" s="11" t="n">
        <v>0.885797108559107</v>
      </c>
      <c r="V30" s="11" t="n">
        <v>0.853573181482257</v>
      </c>
      <c r="W30" s="11" t="n">
        <v>0.856922320465814</v>
      </c>
      <c r="X30" s="11" t="n">
        <v>0.844171007110998</v>
      </c>
      <c r="Y30" s="11" t="n">
        <v>0.92583766013819</v>
      </c>
      <c r="Z30" s="11" t="n">
        <v>0.844657408227866</v>
      </c>
      <c r="AA30" s="11" t="n">
        <v>0.882667864449412</v>
      </c>
      <c r="AB30" s="11" t="n">
        <v>0.920044016490673</v>
      </c>
      <c r="AC30" s="11" t="n">
        <v>0.846274659293319</v>
      </c>
      <c r="AD30" s="11" t="n">
        <v>0.864442474526235</v>
      </c>
      <c r="AE30" s="11" t="n">
        <v>0.893480966819406</v>
      </c>
      <c r="AF30" s="11" t="n">
        <v>0.940209296392752</v>
      </c>
      <c r="AG30" s="11" t="n">
        <v>0.981255685027574</v>
      </c>
      <c r="AH30" s="11" t="n">
        <v>0.962549001103792</v>
      </c>
      <c r="AI30" s="11" t="n">
        <v>0.983714236014689</v>
      </c>
      <c r="AJ30" s="11" t="n">
        <v>1.04517930620611</v>
      </c>
      <c r="AK30" s="11" t="n">
        <v>0.991773864116739</v>
      </c>
      <c r="AL30" s="11" t="n">
        <v>0.941681052261805</v>
      </c>
      <c r="AM30" s="11" t="n">
        <v>0.982884053202977</v>
      </c>
      <c r="AN30" s="11" t="n">
        <v>0.992198471607401</v>
      </c>
      <c r="AO30" s="11" t="n">
        <v>0.996287438667294</v>
      </c>
      <c r="AP30" s="11" t="n">
        <v>1.00683622707534</v>
      </c>
      <c r="AQ30" s="11" t="n">
        <v>1.00703170489673</v>
      </c>
      <c r="AR30" s="11" t="n">
        <v>0.998941297282604</v>
      </c>
      <c r="AS30" s="11" t="n">
        <v>0.985887278553292</v>
      </c>
      <c r="AT30" s="11" t="n">
        <v>0.978796800593438</v>
      </c>
      <c r="AU30" s="11" t="n">
        <v>0.975853621818248</v>
      </c>
      <c r="AV30" s="11" t="n">
        <v>0.968682917461492</v>
      </c>
      <c r="AW30" s="11" t="n">
        <v>0.960183893923989</v>
      </c>
      <c r="AX30" s="11" t="n">
        <v>0.940081912624371</v>
      </c>
      <c r="AY30" s="11" t="n">
        <v>0.917619323007632</v>
      </c>
      <c r="AZ30" s="11" t="n">
        <v>0.886380595119472</v>
      </c>
      <c r="BA30" s="11" t="n">
        <v>0.87294553314272</v>
      </c>
      <c r="BB30" s="11" t="n">
        <v>0.859764751436639</v>
      </c>
      <c r="BC30" s="11" t="n">
        <v>0.847784201391323</v>
      </c>
      <c r="BD30" s="11" t="n">
        <v>0.835820192807434</v>
      </c>
      <c r="BE30" s="11" t="n">
        <v>0.819283116069042</v>
      </c>
      <c r="BF30" s="11" t="n">
        <v>0.810750801806979</v>
      </c>
      <c r="BG30" s="11" t="n">
        <v>0.801317563045464</v>
      </c>
      <c r="BH30" s="11" t="n">
        <v>0.784872973720271</v>
      </c>
      <c r="BI30" s="11" t="n">
        <v>0.767150509364036</v>
      </c>
      <c r="BJ30" s="11" t="n">
        <v>0.751554306685718</v>
      </c>
      <c r="BK30" s="11" t="n">
        <v>0.74140622655167</v>
      </c>
      <c r="BL30" s="11" t="n">
        <v>0.74107264706048</v>
      </c>
      <c r="BM30" s="11" t="n">
        <v>0.740934101893539</v>
      </c>
      <c r="BN30" s="11" t="n">
        <v>4.91988724281482</v>
      </c>
      <c r="BO30" s="11" t="n">
        <v>4.94651070314431</v>
      </c>
      <c r="BP30" s="11" t="n">
        <v>4.67294864213696</v>
      </c>
      <c r="BQ30" s="11" t="n">
        <v>4.23559779484716</v>
      </c>
    </row>
    <row r="31" customFormat="false" ht="13.8" hidden="false" customHeight="false" outlineLevel="0" collapsed="false">
      <c r="A31" s="11" t="s">
        <v>156</v>
      </c>
      <c r="B31" s="11" t="s">
        <v>145</v>
      </c>
      <c r="C31" s="11" t="s">
        <v>139</v>
      </c>
      <c r="D31" s="12"/>
      <c r="E31" s="11" t="n">
        <v>0.803846646059867</v>
      </c>
      <c r="F31" s="11" t="n">
        <v>0.82826751111269</v>
      </c>
      <c r="G31" s="11" t="n">
        <v>0.800673717239957</v>
      </c>
      <c r="H31" s="11" t="n">
        <v>0.81932303991727</v>
      </c>
      <c r="I31" s="11" t="n">
        <v>0.782881171566505</v>
      </c>
      <c r="J31" s="11" t="n">
        <v>0.733462075757155</v>
      </c>
      <c r="K31" s="11" t="n">
        <v>0.747304308394233</v>
      </c>
      <c r="L31" s="11" t="n">
        <v>0.727557422178596</v>
      </c>
      <c r="M31" s="11" t="n">
        <v>0.720071388943577</v>
      </c>
      <c r="N31" s="11" t="n">
        <v>0.723323631281291</v>
      </c>
      <c r="O31" s="11" t="n">
        <v>0.701128967996624</v>
      </c>
      <c r="P31" s="11" t="n">
        <v>0.702079099264855</v>
      </c>
      <c r="Q31" s="11" t="n">
        <v>0.676881243874794</v>
      </c>
      <c r="R31" s="11" t="n">
        <v>0.665624646656046</v>
      </c>
      <c r="S31" s="11" t="n">
        <v>0.667992520226125</v>
      </c>
      <c r="T31" s="11" t="n">
        <v>0.663368901986628</v>
      </c>
      <c r="U31" s="11" t="n">
        <v>0.666538925470497</v>
      </c>
      <c r="V31" s="11" t="n">
        <v>0.666283633552895</v>
      </c>
      <c r="W31" s="11" t="n">
        <v>0.674512136836212</v>
      </c>
      <c r="X31" s="11" t="n">
        <v>0.677989974403374</v>
      </c>
      <c r="Y31" s="11" t="n">
        <v>0.694687837107868</v>
      </c>
      <c r="Z31" s="11" t="n">
        <v>0.682594805284617</v>
      </c>
      <c r="AA31" s="11" t="n">
        <v>0.69304367834433</v>
      </c>
      <c r="AB31" s="11" t="n">
        <v>0.701293262661856</v>
      </c>
      <c r="AC31" s="11" t="n">
        <v>0.693481536121006</v>
      </c>
      <c r="AD31" s="11" t="n">
        <v>0.697701399181227</v>
      </c>
      <c r="AE31" s="11" t="n">
        <v>0.70690583633571</v>
      </c>
      <c r="AF31" s="11" t="n">
        <v>0.713481592450162</v>
      </c>
      <c r="AG31" s="11" t="n">
        <v>0.7253592451567</v>
      </c>
      <c r="AH31" s="11" t="n">
        <v>0.725080797967358</v>
      </c>
      <c r="AI31" s="11" t="n">
        <v>0.729496304148847</v>
      </c>
      <c r="AJ31" s="11" t="n">
        <v>0.73947432248103</v>
      </c>
      <c r="AK31" s="11" t="n">
        <v>0.732979969265163</v>
      </c>
      <c r="AL31" s="11" t="n">
        <v>0.729579335172371</v>
      </c>
      <c r="AM31" s="11" t="n">
        <v>0.743249110875358</v>
      </c>
      <c r="AN31" s="11" t="n">
        <v>0.750144729614421</v>
      </c>
      <c r="AO31" s="11" t="n">
        <v>0.75523805602973</v>
      </c>
      <c r="AP31" s="11" t="n">
        <v>0.760583764406957</v>
      </c>
      <c r="AQ31" s="11" t="n">
        <v>0.763510648163507</v>
      </c>
      <c r="AR31" s="11" t="n">
        <v>0.765143388841265</v>
      </c>
      <c r="AS31" s="11" t="n">
        <v>0.766067528440632</v>
      </c>
      <c r="AT31" s="11" t="n">
        <v>0.767742268863456</v>
      </c>
      <c r="AU31" s="11" t="n">
        <v>0.769903784845678</v>
      </c>
      <c r="AV31" s="11" t="n">
        <v>0.771512835916322</v>
      </c>
      <c r="AW31" s="11" t="n">
        <v>0.772895942848077</v>
      </c>
      <c r="AX31" s="11" t="n">
        <v>0.772628246634002</v>
      </c>
      <c r="AY31" s="11" t="n">
        <v>0.77199550985163</v>
      </c>
      <c r="AZ31" s="11" t="n">
        <v>0.770082551904232</v>
      </c>
      <c r="BA31" s="11" t="n">
        <v>0.770584296386544</v>
      </c>
      <c r="BB31" s="11" t="n">
        <v>0.771078120182177</v>
      </c>
      <c r="BC31" s="11" t="n">
        <v>0.771732345183303</v>
      </c>
      <c r="BD31" s="11" t="n">
        <v>0.772353972375898</v>
      </c>
      <c r="BE31" s="11" t="n">
        <v>0.772295910022309</v>
      </c>
      <c r="BF31" s="11" t="n">
        <v>0.773320831037484</v>
      </c>
      <c r="BG31" s="11" t="n">
        <v>0.774158850307995</v>
      </c>
      <c r="BH31" s="11" t="n">
        <v>0.773911740745648</v>
      </c>
      <c r="BI31" s="11" t="n">
        <v>0.773358361318841</v>
      </c>
      <c r="BJ31" s="11" t="n">
        <v>0.773024570821791</v>
      </c>
      <c r="BK31" s="11" t="n">
        <v>0.77338167210051</v>
      </c>
      <c r="BL31" s="11" t="n">
        <v>0.775035267632406</v>
      </c>
      <c r="BM31" s="11" t="n">
        <v>0.776641355194098</v>
      </c>
      <c r="BN31" s="11" t="n">
        <v>3.73879499609884</v>
      </c>
      <c r="BO31" s="11" t="n">
        <v>3.83236761915454</v>
      </c>
      <c r="BP31" s="11" t="n">
        <v>3.85911508715426</v>
      </c>
      <c r="BQ31" s="11" t="n">
        <v>3.85804464415023</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114.803844775093</v>
      </c>
      <c r="AO32" s="11" t="n">
        <v>112.811147894444</v>
      </c>
      <c r="AP32" s="11" t="n">
        <v>110.2274149228</v>
      </c>
      <c r="AQ32" s="11" t="n">
        <v>106.087336509852</v>
      </c>
      <c r="AR32" s="11" t="n">
        <v>101.025553423099</v>
      </c>
      <c r="AS32" s="11" t="n">
        <v>94.8793781446222</v>
      </c>
      <c r="AT32" s="11" t="n">
        <v>89.2125137123285</v>
      </c>
      <c r="AU32" s="11" t="n">
        <v>83.9489940116705</v>
      </c>
      <c r="AV32" s="11" t="n">
        <v>79.3941272675261</v>
      </c>
      <c r="AW32" s="11" t="n">
        <v>75.322216912333</v>
      </c>
      <c r="AX32" s="11" t="n">
        <v>71.7607708069728</v>
      </c>
      <c r="AY32" s="11" t="n">
        <v>68.5226368545492</v>
      </c>
      <c r="AZ32" s="11" t="n">
        <v>65.6075584090056</v>
      </c>
      <c r="BA32" s="11" t="n">
        <v>63.0260302767619</v>
      </c>
      <c r="BB32" s="11" t="n">
        <v>60.8078754791271</v>
      </c>
      <c r="BC32" s="11" t="n">
        <v>58.77886775316</v>
      </c>
      <c r="BD32" s="11" t="n">
        <v>57.0666916895999</v>
      </c>
      <c r="BE32" s="11" t="n">
        <v>55.5519156380849</v>
      </c>
      <c r="BF32" s="11" t="n">
        <v>54.3645626428921</v>
      </c>
      <c r="BG32" s="11" t="n">
        <v>53.3228243690052</v>
      </c>
      <c r="BH32" s="11" t="n">
        <v>52.4375296623688</v>
      </c>
      <c r="BI32" s="11" t="n">
        <v>51.7556651408583</v>
      </c>
      <c r="BJ32" s="11" t="n">
        <v>51.1660081736203</v>
      </c>
      <c r="BK32" s="11" t="n">
        <v>50.8247570788312</v>
      </c>
      <c r="BL32" s="11" t="n">
        <v>50.478969464587</v>
      </c>
      <c r="BM32" s="11" t="n">
        <v>50.2091583424778</v>
      </c>
      <c r="BN32" s="11" t="n">
        <v>557.074929102282</v>
      </c>
      <c r="BO32" s="11" t="n">
        <v>475.153775801572</v>
      </c>
      <c r="BP32" s="11" t="n">
        <v>360.607310250387</v>
      </c>
      <c r="BQ32" s="11" t="n">
        <v>295.231380836734</v>
      </c>
    </row>
    <row r="33" customFormat="false" ht="13.8" hidden="false" customHeight="false" outlineLevel="0" collapsed="false">
      <c r="A33" s="11" t="s">
        <v>155</v>
      </c>
      <c r="B33" s="11" t="s">
        <v>146</v>
      </c>
      <c r="C33" s="11" t="s">
        <v>139</v>
      </c>
      <c r="D33" s="12"/>
      <c r="E33" s="11" t="n">
        <v>1.27297720515135</v>
      </c>
      <c r="F33" s="11" t="n">
        <v>1.25061064970842</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0.553564609166542</v>
      </c>
      <c r="R33" s="11" t="n">
        <v>0.490426598642273</v>
      </c>
      <c r="S33" s="11" t="n">
        <v>0.442652781387932</v>
      </c>
      <c r="T33" s="11" t="n">
        <v>0.405383013533054</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0.0747884074140275</v>
      </c>
      <c r="AJ33" s="11" t="n">
        <v>0.0810221488085114</v>
      </c>
      <c r="AK33" s="11" t="n">
        <v>0.0850575444875325</v>
      </c>
      <c r="AL33" s="11" t="n">
        <v>0.0856761920612092</v>
      </c>
      <c r="AM33" s="11" t="n">
        <v>0.0916319440299271</v>
      </c>
      <c r="AN33" s="11" t="n">
        <v>0.0909238834812083</v>
      </c>
      <c r="AO33" s="11" t="n">
        <v>0.0887888748526391</v>
      </c>
      <c r="AP33" s="11" t="n">
        <v>0.0874262487254367</v>
      </c>
      <c r="AQ33" s="11" t="n">
        <v>0.0851312548376823</v>
      </c>
      <c r="AR33" s="11" t="n">
        <v>0.081858100711131</v>
      </c>
      <c r="AS33" s="11" t="n">
        <v>0.0775048862631219</v>
      </c>
      <c r="AT33" s="11" t="n">
        <v>0.0735917300242014</v>
      </c>
      <c r="AU33" s="11" t="n">
        <v>0.0698454756786235</v>
      </c>
      <c r="AV33" s="11" t="n">
        <v>0.0662826676660975</v>
      </c>
      <c r="AW33" s="11" t="n">
        <v>0.0630154031288009</v>
      </c>
      <c r="AX33" s="11" t="n">
        <v>0.0600206024746092</v>
      </c>
      <c r="AY33" s="11" t="n">
        <v>0.0572504997085538</v>
      </c>
      <c r="AZ33" s="11" t="n">
        <v>0.0547511565255795</v>
      </c>
      <c r="BA33" s="11" t="n">
        <v>0.0525099283828194</v>
      </c>
      <c r="BB33" s="11" t="n">
        <v>0.050446012296545</v>
      </c>
      <c r="BC33" s="11" t="n">
        <v>0.0486294053477404</v>
      </c>
      <c r="BD33" s="11" t="n">
        <v>0.046946674406845</v>
      </c>
      <c r="BE33" s="11" t="n">
        <v>0.0455951182850117</v>
      </c>
      <c r="BF33" s="11" t="n">
        <v>0.0444129849786137</v>
      </c>
      <c r="BG33" s="11" t="n">
        <v>0.0434507906772212</v>
      </c>
      <c r="BH33" s="11" t="n">
        <v>0.042726959334557</v>
      </c>
      <c r="BI33" s="11" t="n">
        <v>0.0421928367134272</v>
      </c>
      <c r="BJ33" s="11" t="n">
        <v>0.0417281166004933</v>
      </c>
      <c r="BK33" s="11" t="n">
        <v>0.0413926114886641</v>
      </c>
      <c r="BL33" s="11" t="n">
        <v>0.0411639190085755</v>
      </c>
      <c r="BM33" s="11" t="n">
        <v>0.0410054104346384</v>
      </c>
      <c r="BN33" s="11" t="n">
        <v>0.44444714315042</v>
      </c>
      <c r="BO33" s="11" t="n">
        <v>0.38793144751476</v>
      </c>
      <c r="BP33" s="11" t="n">
        <v>0.301320329503641</v>
      </c>
      <c r="BQ33" s="11" t="n">
        <v>0.244127138718961</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0.890620745807166</v>
      </c>
      <c r="X34" s="11" t="n">
        <v>0.844914398363468</v>
      </c>
      <c r="Y34" s="11" t="n">
        <v>0.849296904955032</v>
      </c>
      <c r="Z34" s="11" t="n">
        <v>0.862456549136757</v>
      </c>
      <c r="AA34" s="11" t="n">
        <v>0.877239206896131</v>
      </c>
      <c r="AB34" s="11" t="n">
        <v>0.894622354167945</v>
      </c>
      <c r="AC34" s="11" t="n">
        <v>0.934204816450957</v>
      </c>
      <c r="AD34" s="11" t="n">
        <v>0.949799549113104</v>
      </c>
      <c r="AE34" s="11" t="n">
        <v>0.987987362907361</v>
      </c>
      <c r="AF34" s="11" t="n">
        <v>1.00785908615541</v>
      </c>
      <c r="AG34" s="11" t="n">
        <v>1.01707539544984</v>
      </c>
      <c r="AH34" s="11" t="n">
        <v>0.991684737617365</v>
      </c>
      <c r="AI34" s="11" t="n">
        <v>0.871004562768477</v>
      </c>
      <c r="AJ34" s="11" t="n">
        <v>0.922070495488821</v>
      </c>
      <c r="AK34" s="11" t="n">
        <v>0.917810058079545</v>
      </c>
      <c r="AL34" s="11" t="n">
        <v>0.895428540077311</v>
      </c>
      <c r="AM34" s="11" t="n">
        <v>0.962369082226078</v>
      </c>
      <c r="AN34" s="11" t="n">
        <v>0.957911571804564</v>
      </c>
      <c r="AO34" s="11" t="n">
        <v>0.940757158507534</v>
      </c>
      <c r="AP34" s="11" t="n">
        <v>0.921699692762558</v>
      </c>
      <c r="AQ34" s="11" t="n">
        <v>0.897970926336468</v>
      </c>
      <c r="AR34" s="11" t="n">
        <v>0.869621715168378</v>
      </c>
      <c r="AS34" s="11" t="n">
        <v>0.837997236976775</v>
      </c>
      <c r="AT34" s="11" t="n">
        <v>0.810385982013004</v>
      </c>
      <c r="AU34" s="11" t="n">
        <v>0.78539397090322</v>
      </c>
      <c r="AV34" s="11" t="n">
        <v>0.763067733559385</v>
      </c>
      <c r="AW34" s="11" t="n">
        <v>0.744533929598626</v>
      </c>
      <c r="AX34" s="11" t="n">
        <v>0.729328954259074</v>
      </c>
      <c r="AY34" s="11" t="n">
        <v>0.716680150975801</v>
      </c>
      <c r="AZ34" s="11" t="n">
        <v>0.706057384898829</v>
      </c>
      <c r="BA34" s="11" t="n">
        <v>0.697715876318007</v>
      </c>
      <c r="BB34" s="11" t="n">
        <v>0.691227022196209</v>
      </c>
      <c r="BC34" s="11" t="n">
        <v>0.686078904580376</v>
      </c>
      <c r="BD34" s="11" t="n">
        <v>0.680595948009976</v>
      </c>
      <c r="BE34" s="11" t="n">
        <v>0.676699361152787</v>
      </c>
      <c r="BF34" s="11" t="n">
        <v>0.673599162552212</v>
      </c>
      <c r="BG34" s="11" t="n">
        <v>0.671729263161098</v>
      </c>
      <c r="BH34" s="11" t="n">
        <v>0.670714492032542</v>
      </c>
      <c r="BI34" s="11" t="n">
        <v>0.670506165237318</v>
      </c>
      <c r="BJ34" s="11" t="n">
        <v>0.670469631809614</v>
      </c>
      <c r="BK34" s="11" t="n">
        <v>0.67135823069627</v>
      </c>
      <c r="BL34" s="11" t="n">
        <v>0.673041141607711</v>
      </c>
      <c r="BM34" s="11" t="n">
        <v>0.674451196906563</v>
      </c>
      <c r="BN34" s="11" t="n">
        <v>4.67816604537805</v>
      </c>
      <c r="BO34" s="11" t="n">
        <v>4.20136983139785</v>
      </c>
      <c r="BP34" s="11" t="n">
        <v>3.65966815329172</v>
      </c>
      <c r="BQ34" s="11" t="n">
        <v>3.43231711225735</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7.05228750474408</v>
      </c>
      <c r="Q35" s="11" t="n">
        <v>7.4688138300499</v>
      </c>
      <c r="R35" s="11" t="n">
        <v>8.25870624154292</v>
      </c>
      <c r="S35" s="11" t="n">
        <v>7.36937772653388</v>
      </c>
      <c r="T35" s="11" t="n">
        <v>8.09555591302204</v>
      </c>
      <c r="U35" s="11" t="n">
        <v>8.88703175483168</v>
      </c>
      <c r="V35" s="11" t="n">
        <v>9.24213661121652</v>
      </c>
      <c r="W35" s="11" t="n">
        <v>9.58107153266835</v>
      </c>
      <c r="X35" s="11" t="n">
        <v>10.0020094196355</v>
      </c>
      <c r="Y35" s="11" t="n">
        <v>10.4979550302191</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4.09884472060176</v>
      </c>
      <c r="AU35" s="11" t="n">
        <v>3.89091088317771</v>
      </c>
      <c r="AV35" s="11" t="n">
        <v>3.70734813175857</v>
      </c>
      <c r="AW35" s="11" t="n">
        <v>3.53638632023551</v>
      </c>
      <c r="AX35" s="11" t="n">
        <v>3.38044042697567</v>
      </c>
      <c r="AY35" s="11" t="n">
        <v>3.24624656805012</v>
      </c>
      <c r="AZ35" s="11" t="n">
        <v>3.14013667374679</v>
      </c>
      <c r="BA35" s="11" t="n">
        <v>3.06190005083168</v>
      </c>
      <c r="BB35" s="11" t="n">
        <v>3.0277117596006</v>
      </c>
      <c r="BC35" s="11" t="n">
        <v>3.01583177269943</v>
      </c>
      <c r="BD35" s="11" t="n">
        <v>3.01833912244435</v>
      </c>
      <c r="BE35" s="11" t="n">
        <v>3.03328730057938</v>
      </c>
      <c r="BF35" s="11" t="n">
        <v>3.05775648539494</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1.48366130882975</v>
      </c>
      <c r="F36" s="11" t="n">
        <v>1.24305334298279</v>
      </c>
      <c r="G36" s="11" t="n">
        <v>0.617640551647897</v>
      </c>
      <c r="H36" s="11" t="n">
        <v>0.538700846476154</v>
      </c>
      <c r="I36" s="11" t="n">
        <v>0.546409279966551</v>
      </c>
      <c r="J36" s="11" t="n">
        <v>0.533270281772292</v>
      </c>
      <c r="K36" s="11" t="n">
        <v>0.531928867885412</v>
      </c>
      <c r="L36" s="11" t="n">
        <v>0.44692564402011</v>
      </c>
      <c r="M36" s="11" t="n">
        <v>0.43528910732139</v>
      </c>
      <c r="N36" s="11" t="n">
        <v>0.412312802276656</v>
      </c>
      <c r="O36" s="11" t="n">
        <v>0.51862161306472</v>
      </c>
      <c r="P36" s="11" t="n">
        <v>0.432138729457178</v>
      </c>
      <c r="Q36" s="11" t="n">
        <v>0.364067786446408</v>
      </c>
      <c r="R36" s="11" t="n">
        <v>0.318513971049458</v>
      </c>
      <c r="S36" s="11" t="n">
        <v>0.402942811428176</v>
      </c>
      <c r="T36" s="11" t="n">
        <v>0.368307653921605</v>
      </c>
      <c r="U36" s="11" t="n">
        <v>0.369821205860997</v>
      </c>
      <c r="V36" s="11" t="n">
        <v>0.277694286963564</v>
      </c>
      <c r="W36" s="11" t="n">
        <v>0.255311612882481</v>
      </c>
      <c r="X36" s="11" t="n">
        <v>0.195240026958578</v>
      </c>
      <c r="Y36" s="11" t="n">
        <v>0.281496039558142</v>
      </c>
      <c r="Z36" s="11" t="n">
        <v>0.399303588048535</v>
      </c>
      <c r="AA36" s="11" t="n">
        <v>0.243138181819986</v>
      </c>
      <c r="AB36" s="11" t="n">
        <v>0.294217429839836</v>
      </c>
      <c r="AC36" s="11" t="n">
        <v>0.23782779605641</v>
      </c>
      <c r="AD36" s="11" t="n">
        <v>0.274427975434271</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0.145322964863699</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0.788373788456026</v>
      </c>
      <c r="BP36" s="11" t="n">
        <v>0.788373788456026</v>
      </c>
      <c r="BQ36" s="11" t="n">
        <v>0.788373788456026</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0.426418736992623</v>
      </c>
      <c r="AE37" s="11" t="n">
        <v>0.458386532676318</v>
      </c>
      <c r="AF37" s="11" t="n">
        <v>0.460093295564997</v>
      </c>
      <c r="AG37" s="11" t="n">
        <v>0.565037427403676</v>
      </c>
      <c r="AH37" s="11" t="n">
        <v>0.49719676355469</v>
      </c>
      <c r="AI37" s="11" t="n">
        <v>0.425406162786779</v>
      </c>
      <c r="AJ37" s="11" t="n">
        <v>0.38749956929647</v>
      </c>
      <c r="AK37" s="11" t="n">
        <v>0.333442729385777</v>
      </c>
      <c r="AL37" s="11" t="n">
        <v>0.301791676439176</v>
      </c>
      <c r="AM37" s="11" t="n">
        <v>0.307854862676676</v>
      </c>
      <c r="AN37" s="11" t="n">
        <v>0.314290204270113</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0.372815184884234</v>
      </c>
      <c r="AW37" s="11" t="n">
        <v>0.380977508595361</v>
      </c>
      <c r="AX37" s="11" t="n">
        <v>0.389343890399265</v>
      </c>
      <c r="AY37" s="11" t="n">
        <v>0.389343890399265</v>
      </c>
      <c r="AZ37" s="11" t="n">
        <v>0.389343890399265</v>
      </c>
      <c r="BA37" s="11" t="n">
        <v>0.389343890399265</v>
      </c>
      <c r="BB37" s="11" t="n">
        <v>0.389343890399265</v>
      </c>
      <c r="BC37" s="11" t="n">
        <v>0.389343890399265</v>
      </c>
      <c r="BD37" s="11" t="n">
        <v>0.389343890399265</v>
      </c>
      <c r="BE37" s="11" t="n">
        <v>0.389343890399265</v>
      </c>
      <c r="BF37" s="11" t="n">
        <v>0.389343890399265</v>
      </c>
      <c r="BG37" s="11" t="n">
        <v>0.389343890399265</v>
      </c>
      <c r="BH37" s="11" t="n">
        <v>0.389343890399265</v>
      </c>
      <c r="BI37" s="11" t="n">
        <v>0.389343890399265</v>
      </c>
      <c r="BJ37" s="11" t="n">
        <v>0.389343890399265</v>
      </c>
      <c r="BK37" s="11" t="n">
        <v>0.389343890399265</v>
      </c>
      <c r="BL37" s="11" t="n">
        <v>0.389343890399265</v>
      </c>
      <c r="BM37" s="11" t="n">
        <v>0.389343890399265</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27.8666115887723</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9.76119296086783</v>
      </c>
      <c r="AB40" s="11" t="n">
        <v>8.41545417361807</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4.60896573328359</v>
      </c>
      <c r="AO40" s="11" t="n">
        <v>4.51531283733763</v>
      </c>
      <c r="AP40" s="11" t="n">
        <v>4.43251473975326</v>
      </c>
      <c r="AQ40" s="11" t="n">
        <v>4.33931031307604</v>
      </c>
      <c r="AR40" s="11" t="n">
        <v>4.27042470752107</v>
      </c>
      <c r="AS40" s="11" t="n">
        <v>4.16493697376189</v>
      </c>
      <c r="AT40" s="11" t="n">
        <v>4.0870438761828</v>
      </c>
      <c r="AU40" s="11" t="n">
        <v>4.00518559715718</v>
      </c>
      <c r="AV40" s="11" t="n">
        <v>3.92415539792226</v>
      </c>
      <c r="AW40" s="11" t="n">
        <v>3.91438833478327</v>
      </c>
      <c r="AX40" s="11" t="n">
        <v>3.90644754282497</v>
      </c>
      <c r="AY40" s="11" t="n">
        <v>3.84809093105188</v>
      </c>
      <c r="AZ40" s="11" t="n">
        <v>3.80090727324533</v>
      </c>
      <c r="BA40" s="11" t="n">
        <v>3.7973655328655</v>
      </c>
      <c r="BB40" s="11" t="n">
        <v>3.77941775247692</v>
      </c>
      <c r="BC40" s="11" t="n">
        <v>3.7723842729426</v>
      </c>
      <c r="BD40" s="11" t="n">
        <v>3.7117678124743</v>
      </c>
      <c r="BE40" s="11" t="n">
        <v>3.67366681748889</v>
      </c>
      <c r="BF40" s="11" t="n">
        <v>3.66596311748617</v>
      </c>
      <c r="BG40" s="11" t="n">
        <v>3.66242052310941</v>
      </c>
      <c r="BH40" s="11" t="n">
        <v>3.65823716815648</v>
      </c>
      <c r="BI40" s="11" t="n">
        <v>3.65536463066428</v>
      </c>
      <c r="BJ40" s="11" t="n">
        <v>3.64366491858691</v>
      </c>
      <c r="BK40" s="11" t="n">
        <v>3.63059732432291</v>
      </c>
      <c r="BL40" s="11" t="n">
        <v>3.61707227405631</v>
      </c>
      <c r="BM40" s="11" t="n">
        <v>3.61041659735008</v>
      </c>
      <c r="BN40" s="11" t="n">
        <v>22.9613096486132</v>
      </c>
      <c r="BO40" s="11" t="n">
        <v>20.866901467699</v>
      </c>
      <c r="BP40" s="11" t="n">
        <v>19.3939894798277</v>
      </c>
      <c r="BQ40" s="11" t="n">
        <v>18.7346021882482</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0.442894292416788</v>
      </c>
      <c r="O41" s="11" t="n">
        <v>0.440832972272152</v>
      </c>
      <c r="P41" s="11" t="n">
        <v>0.46202476197879</v>
      </c>
      <c r="Q41" s="11" t="n">
        <v>0.491979479550147</v>
      </c>
      <c r="R41" s="11" t="n">
        <v>0.432768472682193</v>
      </c>
      <c r="S41" s="11" t="n">
        <v>0.421690806993512</v>
      </c>
      <c r="T41" s="11" t="n">
        <v>0.412567690229287</v>
      </c>
      <c r="U41" s="11" t="n">
        <v>0.382106826564727</v>
      </c>
      <c r="V41" s="11" t="n">
        <v>0.370533797808131</v>
      </c>
      <c r="W41" s="11" t="n">
        <v>0.362480367766961</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0.259826594914701</v>
      </c>
      <c r="AQ41" s="11" t="n">
        <v>0.252551758120265</v>
      </c>
      <c r="AR41" s="11" t="n">
        <v>0.242641902370847</v>
      </c>
      <c r="AS41" s="11" t="n">
        <v>0.233218003086929</v>
      </c>
      <c r="AT41" s="11" t="n">
        <v>0.22053906038247</v>
      </c>
      <c r="AU41" s="11" t="n">
        <v>0.203643509593306</v>
      </c>
      <c r="AV41" s="11" t="n">
        <v>0.186312550598975</v>
      </c>
      <c r="AW41" s="11" t="n">
        <v>0.184860008589182</v>
      </c>
      <c r="AX41" s="11" t="n">
        <v>0.182500573003159</v>
      </c>
      <c r="AY41" s="11" t="n">
        <v>0.162360845078634</v>
      </c>
      <c r="AZ41" s="11" t="n">
        <v>0.0674546792871321</v>
      </c>
      <c r="BA41" s="11" t="n">
        <v>0.0673403531980414</v>
      </c>
      <c r="BB41" s="11" t="n">
        <v>0.058502968309159</v>
      </c>
      <c r="BC41" s="11" t="n">
        <v>0.0581678143369751</v>
      </c>
      <c r="BD41" s="11" t="n">
        <v>0.0373879612676024</v>
      </c>
      <c r="BE41" s="11" t="n">
        <v>0.0277102342592243</v>
      </c>
      <c r="BF41" s="11" t="n">
        <v>0.0277097774370079</v>
      </c>
      <c r="BG41" s="11" t="n">
        <v>0.0276567516994801</v>
      </c>
      <c r="BH41" s="11" t="n">
        <v>0.0240764958787409</v>
      </c>
      <c r="BI41" s="11" t="n">
        <v>0.0242330378964321</v>
      </c>
      <c r="BJ41" s="11" t="n">
        <v>0.0232321758114532</v>
      </c>
      <c r="BK41" s="11" t="n">
        <v>0.0174688939437664</v>
      </c>
      <c r="BL41" s="11" t="n">
        <v>0.0128977331393986</v>
      </c>
      <c r="BM41" s="11" t="n">
        <v>0.0103055391778412</v>
      </c>
      <c r="BN41" s="11" t="n">
        <v>1.3333713882988</v>
      </c>
      <c r="BO41" s="11" t="n">
        <v>1.15259423355382</v>
      </c>
      <c r="BP41" s="11" t="n">
        <v>0.783488656557082</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53.8265487822321</v>
      </c>
      <c r="AN42" s="11" t="n">
        <v>51.9179487767145</v>
      </c>
      <c r="AO42" s="11" t="n">
        <v>51.1445832080219</v>
      </c>
      <c r="AP42" s="11" t="n">
        <v>50.9679151973836</v>
      </c>
      <c r="AQ42" s="11" t="n">
        <v>50.6424929743612</v>
      </c>
      <c r="AR42" s="11" t="n">
        <v>50.3260794558822</v>
      </c>
      <c r="AS42" s="11" t="n">
        <v>49.9771046716052</v>
      </c>
      <c r="AT42" s="11" t="n">
        <v>49.6192909325894</v>
      </c>
      <c r="AU42" s="11" t="n">
        <v>49.4661709624562</v>
      </c>
      <c r="AV42" s="11" t="n">
        <v>49.3575577878691</v>
      </c>
      <c r="AW42" s="11" t="n">
        <v>49.0081609615092</v>
      </c>
      <c r="AX42" s="11" t="n">
        <v>48.9085474037943</v>
      </c>
      <c r="AY42" s="11" t="n">
        <v>48.7738883234119</v>
      </c>
      <c r="AZ42" s="11" t="n">
        <v>48.93762314035</v>
      </c>
      <c r="BA42" s="11" t="n">
        <v>48.9961694772366</v>
      </c>
      <c r="BB42" s="11" t="n">
        <v>49.1597565271862</v>
      </c>
      <c r="BC42" s="11" t="n">
        <v>49.6815634042056</v>
      </c>
      <c r="BD42" s="11" t="n">
        <v>50.5262377426663</v>
      </c>
      <c r="BE42" s="11" t="n">
        <v>50.894799866316</v>
      </c>
      <c r="BF42" s="11" t="n">
        <v>51.2363052972899</v>
      </c>
      <c r="BG42" s="11" t="n">
        <v>51.5905958775025</v>
      </c>
      <c r="BH42" s="11" t="n">
        <v>51.9955039452339</v>
      </c>
      <c r="BI42" s="11" t="n">
        <v>52.5864543691868</v>
      </c>
      <c r="BJ42" s="11" t="n">
        <v>53.0529844631865</v>
      </c>
      <c r="BK42" s="11" t="n">
        <v>53.5730098212102</v>
      </c>
      <c r="BL42" s="11" t="n">
        <v>53.9802563281813</v>
      </c>
      <c r="BM42" s="11" t="n">
        <v>54.4786718432493</v>
      </c>
      <c r="BN42" s="11" t="n">
        <v>271.322502459951</v>
      </c>
      <c r="BO42" s="11" t="n">
        <v>250.031138996894</v>
      </c>
      <c r="BP42" s="11" t="n">
        <v>244.985777616935</v>
      </c>
      <c r="BQ42" s="11" t="n">
        <v>249.258527017611</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0.131857151900525</v>
      </c>
      <c r="AN43" s="11" t="n">
        <v>0.129681199232142</v>
      </c>
      <c r="AO43" s="11" t="n">
        <v>0.129525437156789</v>
      </c>
      <c r="AP43" s="11" t="n">
        <v>0.129218437509762</v>
      </c>
      <c r="AQ43" s="11" t="n">
        <v>0.12980638439749</v>
      </c>
      <c r="AR43" s="11" t="n">
        <v>0.129736948828353</v>
      </c>
      <c r="AS43" s="11" t="n">
        <v>0.129515982633703</v>
      </c>
      <c r="AT43" s="11" t="n">
        <v>0.129923377895676</v>
      </c>
      <c r="AU43" s="11" t="n">
        <v>0.129949591739522</v>
      </c>
      <c r="AV43" s="11" t="n">
        <v>0.129224738700366</v>
      </c>
      <c r="AW43" s="11" t="n">
        <v>0.127477614107578</v>
      </c>
      <c r="AX43" s="11" t="n">
        <v>0.124259233943105</v>
      </c>
      <c r="AY43" s="11" t="n">
        <v>0.121040723304589</v>
      </c>
      <c r="AZ43" s="11" t="n">
        <v>0.116174508220406</v>
      </c>
      <c r="BA43" s="11" t="n">
        <v>0.113247426931901</v>
      </c>
      <c r="BB43" s="11" t="n">
        <v>0.112437155131348</v>
      </c>
      <c r="BC43" s="11" t="n">
        <v>0.113215720298953</v>
      </c>
      <c r="BD43" s="11" t="n">
        <v>0.113721045950237</v>
      </c>
      <c r="BE43" s="11" t="n">
        <v>0.113797732191839</v>
      </c>
      <c r="BF43" s="11" t="n">
        <v>0.115125921968064</v>
      </c>
      <c r="BG43" s="11" t="n">
        <v>0.116471106830337</v>
      </c>
      <c r="BH43" s="11" t="n">
        <v>0.117664686646492</v>
      </c>
      <c r="BI43" s="11" t="n">
        <v>0.118775885478207</v>
      </c>
      <c r="BJ43" s="11" t="n">
        <v>0.119816209815501</v>
      </c>
      <c r="BK43" s="11" t="n">
        <v>0.121052681980356</v>
      </c>
      <c r="BL43" s="11" t="n">
        <v>0.122532823741922</v>
      </c>
      <c r="BM43" s="11" t="n">
        <v>0.124070568348592</v>
      </c>
      <c r="BN43" s="11" t="n">
        <v>0.66446521845163</v>
      </c>
      <c r="BO43" s="11" t="n">
        <v>0.648932285494745</v>
      </c>
      <c r="BP43" s="11" t="n">
        <v>0.618176818276044</v>
      </c>
      <c r="BQ43" s="11" t="n">
        <v>0.566419080504277</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5.07364558948497</v>
      </c>
      <c r="P44" s="11" t="n">
        <v>4.45325880525414</v>
      </c>
      <c r="Q44" s="11" t="n">
        <v>3.01842197338898</v>
      </c>
      <c r="R44" s="11" t="n">
        <v>2.81505100334472</v>
      </c>
      <c r="S44" s="11" t="n">
        <v>3.63996062651573</v>
      </c>
      <c r="T44" s="11" t="n">
        <v>3.0442791940789</v>
      </c>
      <c r="U44" s="11" t="n">
        <v>2.54557292799599</v>
      </c>
      <c r="V44" s="11" t="n">
        <v>2.90942202484568</v>
      </c>
      <c r="W44" s="11" t="n">
        <v>2.72152512967184</v>
      </c>
      <c r="X44" s="11" t="n">
        <v>1.44743896649675</v>
      </c>
      <c r="Y44" s="11" t="n">
        <v>1.57729522759961</v>
      </c>
      <c r="Z44" s="11" t="n">
        <v>0.759835128682743</v>
      </c>
      <c r="AA44" s="11" t="n">
        <v>0.689927058145182</v>
      </c>
      <c r="AB44" s="11" t="n">
        <v>0.671846126192616</v>
      </c>
      <c r="AC44" s="11" t="n">
        <v>0.710807215554163</v>
      </c>
      <c r="AD44" s="11" t="n">
        <v>0.675534461273334</v>
      </c>
      <c r="AE44" s="11" t="n">
        <v>0.644171223541193</v>
      </c>
      <c r="AF44" s="11" t="n">
        <v>0.655595617940846</v>
      </c>
      <c r="AG44" s="11" t="n">
        <v>0.671057262333067</v>
      </c>
      <c r="AH44" s="11" t="n">
        <v>0.665186983520861</v>
      </c>
      <c r="AI44" s="11" t="n">
        <v>0.562024686597679</v>
      </c>
      <c r="AJ44" s="11" t="n">
        <v>0.532178473754611</v>
      </c>
      <c r="AK44" s="11" t="n">
        <v>0.466551853454806</v>
      </c>
      <c r="AL44" s="11" t="n">
        <v>0.477826020714757</v>
      </c>
      <c r="AM44" s="11" t="n">
        <v>0.505082913383914</v>
      </c>
      <c r="AN44" s="11" t="n">
        <v>0.50481750576387</v>
      </c>
      <c r="AO44" s="11" t="n">
        <v>0.505283544060843</v>
      </c>
      <c r="AP44" s="11" t="n">
        <v>0.505729001176505</v>
      </c>
      <c r="AQ44" s="11" t="n">
        <v>0.506885602597288</v>
      </c>
      <c r="AR44" s="11" t="n">
        <v>0.508514937465403</v>
      </c>
      <c r="AS44" s="11" t="n">
        <v>0.510565520038456</v>
      </c>
      <c r="AT44" s="11" t="n">
        <v>0.511947604554453</v>
      </c>
      <c r="AU44" s="11" t="n">
        <v>0.512777200546772</v>
      </c>
      <c r="AV44" s="11" t="n">
        <v>0.512701781185097</v>
      </c>
      <c r="AW44" s="11" t="n">
        <v>0.511919041548292</v>
      </c>
      <c r="AX44" s="11" t="n">
        <v>0.509366142839148</v>
      </c>
      <c r="AY44" s="11" t="n">
        <v>0.506236668261317</v>
      </c>
      <c r="AZ44" s="11" t="n">
        <v>0.502250671001845</v>
      </c>
      <c r="BA44" s="11" t="n">
        <v>0.501541186464633</v>
      </c>
      <c r="BB44" s="11" t="n">
        <v>0.503938654414944</v>
      </c>
      <c r="BC44" s="11" t="n">
        <v>0.507029721723553</v>
      </c>
      <c r="BD44" s="11" t="n">
        <v>0.509989032357157</v>
      </c>
      <c r="BE44" s="11" t="n">
        <v>0.512321782209855</v>
      </c>
      <c r="BF44" s="11" t="n">
        <v>0.516245001541667</v>
      </c>
      <c r="BG44" s="11" t="n">
        <v>0.520206634117758</v>
      </c>
      <c r="BH44" s="11" t="n">
        <v>0.523979914523875</v>
      </c>
      <c r="BI44" s="11" t="n">
        <v>0.528160234898301</v>
      </c>
      <c r="BJ44" s="11" t="n">
        <v>0.532280240078372</v>
      </c>
      <c r="BK44" s="11" t="n">
        <v>0.536655900199788</v>
      </c>
      <c r="BL44" s="11" t="n">
        <v>0.541355894029511</v>
      </c>
      <c r="BM44" s="11" t="n">
        <v>0.54613175234344</v>
      </c>
      <c r="BN44" s="11" t="n">
        <v>2.49873898509989</v>
      </c>
      <c r="BO44" s="11" t="n">
        <v>2.55069086520237</v>
      </c>
      <c r="BP44" s="11" t="n">
        <v>2.5424743048357</v>
      </c>
      <c r="BQ44" s="11" t="n">
        <v>2.53482037717014</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5.55186504357902</v>
      </c>
      <c r="H46" s="11" t="n">
        <v>5.54746647872344</v>
      </c>
      <c r="I46" s="11" t="n">
        <v>5.53902951394119</v>
      </c>
      <c r="J46" s="11" t="n">
        <v>5.54965155198649</v>
      </c>
      <c r="K46" s="11" t="n">
        <v>5.53405930164697</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5.57797283010562</v>
      </c>
      <c r="X46" s="11" t="n">
        <v>5.57878522339053</v>
      </c>
      <c r="Y46" s="11" t="n">
        <v>5.60501096444991</v>
      </c>
      <c r="Z46" s="11" t="n">
        <v>5.62372281146323</v>
      </c>
      <c r="AA46" s="11" t="n">
        <v>5.61193731105979</v>
      </c>
      <c r="AB46" s="11" t="n">
        <v>5.62617031143543</v>
      </c>
      <c r="AC46" s="11" t="n">
        <v>5.60602836886574</v>
      </c>
      <c r="AD46" s="11" t="n">
        <v>5.62278898771431</v>
      </c>
      <c r="AE46" s="11" t="n">
        <v>5.64143854355453</v>
      </c>
      <c r="AF46" s="11" t="n">
        <v>5.63907784389892</v>
      </c>
      <c r="AG46" s="11" t="n">
        <v>5.69160270708721</v>
      </c>
      <c r="AH46" s="11" t="n">
        <v>5.70956542589149</v>
      </c>
      <c r="AI46" s="11" t="n">
        <v>5.68909600002544</v>
      </c>
      <c r="AJ46" s="11" t="n">
        <v>5.69657165648638</v>
      </c>
      <c r="AK46" s="11" t="n">
        <v>5.71939302059153</v>
      </c>
      <c r="AL46" s="11" t="n">
        <v>5.75129142539663</v>
      </c>
      <c r="AM46" s="11" t="n">
        <v>5.77843961940047</v>
      </c>
      <c r="AN46" s="11" t="n">
        <v>5.82893431121417</v>
      </c>
      <c r="AO46" s="11" t="n">
        <v>5.87516461238546</v>
      </c>
      <c r="AP46" s="11" t="n">
        <v>5.92092678246998</v>
      </c>
      <c r="AQ46" s="11" t="n">
        <v>5.96055627423853</v>
      </c>
      <c r="AR46" s="11" t="n">
        <v>6.00469813847712</v>
      </c>
      <c r="AS46" s="11" t="n">
        <v>6.04871755683646</v>
      </c>
      <c r="AT46" s="11" t="n">
        <v>6.05489975770093</v>
      </c>
      <c r="AU46" s="11" t="n">
        <v>6.05930697368643</v>
      </c>
      <c r="AV46" s="11" t="n">
        <v>6.05892463983378</v>
      </c>
      <c r="AW46" s="11" t="n">
        <v>6.05840612219305</v>
      </c>
      <c r="AX46" s="11" t="n">
        <v>6.05759619889438</v>
      </c>
      <c r="AY46" s="11" t="n">
        <v>6.05669382061206</v>
      </c>
      <c r="AZ46" s="11" t="n">
        <v>6.05564215321823</v>
      </c>
      <c r="BA46" s="11" t="n">
        <v>6.05407666296171</v>
      </c>
      <c r="BB46" s="11" t="n">
        <v>6.05265111772195</v>
      </c>
      <c r="BC46" s="11" t="n">
        <v>6.05111180786035</v>
      </c>
      <c r="BD46" s="11" t="n">
        <v>6.05087833472176</v>
      </c>
      <c r="BE46" s="11" t="n">
        <v>6.05117502944991</v>
      </c>
      <c r="BF46" s="11" t="n">
        <v>6.05153060471665</v>
      </c>
      <c r="BG46" s="11" t="n">
        <v>6.04367299685357</v>
      </c>
      <c r="BH46" s="11" t="n">
        <v>6.03767307245211</v>
      </c>
      <c r="BI46" s="11" t="n">
        <v>6.02978817960862</v>
      </c>
      <c r="BJ46" s="11" t="n">
        <v>6.02218043965274</v>
      </c>
      <c r="BK46" s="11" t="n">
        <v>6.01467645946509</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1.54590973355711</v>
      </c>
      <c r="U47" s="11" t="n">
        <v>1.51233022580462</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37.8563107926445</v>
      </c>
      <c r="AN48" s="11" t="n">
        <v>27.9245774875297</v>
      </c>
      <c r="AO48" s="11" t="n">
        <v>29.0945485610074</v>
      </c>
      <c r="AP48" s="11" t="n">
        <v>24.3345389186412</v>
      </c>
      <c r="AQ48" s="11" t="n">
        <v>23.1565961999487</v>
      </c>
      <c r="AR48" s="11" t="n">
        <v>23.6390248108009</v>
      </c>
      <c r="AS48" s="11" t="n">
        <v>25.9583031040192</v>
      </c>
      <c r="AT48" s="11" t="n">
        <v>26.8816494742707</v>
      </c>
      <c r="AU48" s="11" t="n">
        <v>28.4670165875868</v>
      </c>
      <c r="AV48" s="11" t="n">
        <v>30.5940926093561</v>
      </c>
      <c r="AW48" s="11" t="n">
        <v>33.095868602445</v>
      </c>
      <c r="AX48" s="11" t="n">
        <v>35.2274599412739</v>
      </c>
      <c r="AY48" s="11" t="n">
        <v>35.0061150255179</v>
      </c>
      <c r="AZ48" s="11" t="n">
        <v>35.0996956733754</v>
      </c>
      <c r="BA48" s="11" t="n">
        <v>35.3338819799251</v>
      </c>
      <c r="BB48" s="11" t="n">
        <v>35.6747183833943</v>
      </c>
      <c r="BC48" s="11" t="n">
        <v>35.8805169931754</v>
      </c>
      <c r="BD48" s="11" t="n">
        <v>37.0862868441115</v>
      </c>
      <c r="BE48" s="11" t="n">
        <v>38.5516343861806</v>
      </c>
      <c r="BF48" s="11" t="n">
        <v>39.740820300771</v>
      </c>
      <c r="BG48" s="11" t="n">
        <v>40.9328763098299</v>
      </c>
      <c r="BH48" s="11" t="n">
        <v>41.6406212160348</v>
      </c>
      <c r="BI48" s="11" t="n">
        <v>42.4147909657214</v>
      </c>
      <c r="BJ48" s="11" t="n">
        <v>43.2740351994287</v>
      </c>
      <c r="BK48" s="11" t="n">
        <v>44.9468118524763</v>
      </c>
      <c r="BL48" s="11" t="n">
        <v>45.3413826211698</v>
      </c>
      <c r="BM48" s="11" t="n">
        <v>46.681135635565</v>
      </c>
      <c r="BN48" s="11" t="n">
        <v>162.540876811017</v>
      </c>
      <c r="BO48" s="11" t="n">
        <v>128.102590176626</v>
      </c>
      <c r="BP48" s="11" t="n">
        <v>169.023231851968</v>
      </c>
      <c r="BQ48" s="11" t="n">
        <v>182.527038586787</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0.0709247278374883</v>
      </c>
      <c r="I49" s="11" t="n">
        <v>0.0742130274626892</v>
      </c>
      <c r="J49" s="11" t="n">
        <v>0.0748808413651573</v>
      </c>
      <c r="K49" s="11" t="n">
        <v>0.0758501153320661</v>
      </c>
      <c r="L49" s="11" t="n">
        <v>0.0732454613383986</v>
      </c>
      <c r="M49" s="11" t="n">
        <v>0.0774811747973583</v>
      </c>
      <c r="N49" s="11" t="n">
        <v>0.0793672420704025</v>
      </c>
      <c r="O49" s="11" t="n">
        <v>0.0846894349742251</v>
      </c>
      <c r="P49" s="11" t="n">
        <v>0.0917537201635203</v>
      </c>
      <c r="Q49" s="11" t="n">
        <v>0.0907429907796952</v>
      </c>
      <c r="R49" s="11" t="n">
        <v>0.0941428339572569</v>
      </c>
      <c r="S49" s="11" t="n">
        <v>0.0957489905159301</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0.211350425583012</v>
      </c>
      <c r="AE49" s="11" t="n">
        <v>0.220751805792713</v>
      </c>
      <c r="AF49" s="11" t="n">
        <v>0.222246360185227</v>
      </c>
      <c r="AG49" s="11" t="n">
        <v>0.249516926143695</v>
      </c>
      <c r="AH49" s="11" t="n">
        <v>0.272413021693873</v>
      </c>
      <c r="AI49" s="11" t="n">
        <v>0.274611055142342</v>
      </c>
      <c r="AJ49" s="11" t="n">
        <v>0.29493541718883</v>
      </c>
      <c r="AK49" s="11" t="n">
        <v>0.268806108474927</v>
      </c>
      <c r="AL49" s="11" t="n">
        <v>0.261550530209526</v>
      </c>
      <c r="AM49" s="11" t="n">
        <v>0.37970982641791</v>
      </c>
      <c r="AN49" s="11" t="n">
        <v>0.375029054957071</v>
      </c>
      <c r="AO49" s="11" t="n">
        <v>0.36517978599085</v>
      </c>
      <c r="AP49" s="11" t="n">
        <v>0.332876709518982</v>
      </c>
      <c r="AQ49" s="11" t="n">
        <v>0.237597029238334</v>
      </c>
      <c r="AR49" s="11" t="n">
        <v>0.230746195613216</v>
      </c>
      <c r="AS49" s="11" t="n">
        <v>0.227667305364979</v>
      </c>
      <c r="AT49" s="11" t="n">
        <v>0.226257634597</v>
      </c>
      <c r="AU49" s="11" t="n">
        <v>0.18372871820177</v>
      </c>
      <c r="AV49" s="11" t="n">
        <v>0.185228531138827</v>
      </c>
      <c r="AW49" s="11" t="n">
        <v>0.185788619872661</v>
      </c>
      <c r="AX49" s="11" t="n">
        <v>0.163072931071892</v>
      </c>
      <c r="AY49" s="11" t="n">
        <v>0.157909534319341</v>
      </c>
      <c r="AZ49" s="11" t="n">
        <v>0.15327899819946</v>
      </c>
      <c r="BA49" s="11" t="n">
        <v>0.152300382452467</v>
      </c>
      <c r="BB49" s="11" t="n">
        <v>0.13912772794425</v>
      </c>
      <c r="BC49" s="11" t="n">
        <v>0.139643379171304</v>
      </c>
      <c r="BD49" s="11" t="n">
        <v>0.140687298537183</v>
      </c>
      <c r="BE49" s="11" t="n">
        <v>0.141734083105832</v>
      </c>
      <c r="BF49" s="11" t="n">
        <v>0.142608542998672</v>
      </c>
      <c r="BG49" s="11" t="n">
        <v>0.143316266503817</v>
      </c>
      <c r="BH49" s="11" t="n">
        <v>0.144211662086896</v>
      </c>
      <c r="BI49" s="11" t="n">
        <v>0.144791989815263</v>
      </c>
      <c r="BJ49" s="11" t="n">
        <v>0.145530832072135</v>
      </c>
      <c r="BK49" s="11" t="n">
        <v>0.146772687353122</v>
      </c>
      <c r="BL49" s="11" t="n">
        <v>0.147471785941997</v>
      </c>
      <c r="BM49" s="11" t="n">
        <v>0.14866339097292</v>
      </c>
      <c r="BN49" s="11" t="n">
        <v>1.71434590709434</v>
      </c>
      <c r="BO49" s="11" t="n">
        <v>1.1059968830153</v>
      </c>
      <c r="BP49" s="11" t="n">
        <v>0.845278614602181</v>
      </c>
      <c r="BQ49" s="11" t="n">
        <v>0.713492871211034</v>
      </c>
    </row>
    <row r="50" customFormat="false" ht="13.8" hidden="false" customHeight="false" outlineLevel="0" collapsed="false">
      <c r="A50" s="11" t="s">
        <v>156</v>
      </c>
      <c r="B50" s="11" t="s">
        <v>151</v>
      </c>
      <c r="C50" s="11" t="s">
        <v>139</v>
      </c>
      <c r="D50" s="12"/>
      <c r="E50" s="11" t="n">
        <v>0.984987691558184</v>
      </c>
      <c r="F50" s="11" t="n">
        <v>0.970048388417934</v>
      </c>
      <c r="G50" s="11" t="n">
        <v>0.910617933265949</v>
      </c>
      <c r="H50" s="11" t="n">
        <v>0.771978697012649</v>
      </c>
      <c r="I50" s="11" t="n">
        <v>0.737321268443208</v>
      </c>
      <c r="J50" s="11" t="n">
        <v>0.709397209019641</v>
      </c>
      <c r="K50" s="11" t="n">
        <v>0.6612887889585</v>
      </c>
      <c r="L50" s="11" t="n">
        <v>0.568914048515287</v>
      </c>
      <c r="M50" s="11" t="n">
        <v>0.586389592586241</v>
      </c>
      <c r="N50" s="11" t="n">
        <v>0.513498687002719</v>
      </c>
      <c r="O50" s="11" t="n">
        <v>0.574804572248271</v>
      </c>
      <c r="P50" s="11" t="n">
        <v>0.632355500344122</v>
      </c>
      <c r="Q50" s="11" t="n">
        <v>0.597481798965218</v>
      </c>
      <c r="R50" s="11" t="n">
        <v>0.652412845375287</v>
      </c>
      <c r="S50" s="11" t="n">
        <v>0.634687425943724</v>
      </c>
      <c r="T50" s="11" t="n">
        <v>0.672744029106066</v>
      </c>
      <c r="U50" s="11" t="n">
        <v>0.726225392133559</v>
      </c>
      <c r="V50" s="11" t="n">
        <v>0.673849210882455</v>
      </c>
      <c r="W50" s="11" t="n">
        <v>0.637459708292023</v>
      </c>
      <c r="X50" s="11" t="n">
        <v>0.548443507955348</v>
      </c>
      <c r="Y50" s="11" t="n">
        <v>0.577056570762781</v>
      </c>
      <c r="Z50" s="11" t="n">
        <v>0.580114063030645</v>
      </c>
      <c r="AA50" s="11" t="n">
        <v>0.739849019698221</v>
      </c>
      <c r="AB50" s="11" t="n">
        <v>0.714748016401048</v>
      </c>
      <c r="AC50" s="11" t="n">
        <v>0.62046564927776</v>
      </c>
      <c r="AD50" s="11" t="n">
        <v>0.568838988121384</v>
      </c>
      <c r="AE50" s="11" t="n">
        <v>0.39786726674901</v>
      </c>
      <c r="AF50" s="11" t="n">
        <v>0.365313374041686</v>
      </c>
      <c r="AG50" s="11" t="n">
        <v>0.377926428764218</v>
      </c>
      <c r="AH50" s="11" t="n">
        <v>0.368168520875392</v>
      </c>
      <c r="AI50" s="11" t="n">
        <v>0.365816544629617</v>
      </c>
      <c r="AJ50" s="11" t="n">
        <v>0.393674218221008</v>
      </c>
      <c r="AK50" s="11" t="n">
        <v>0.35714368175873</v>
      </c>
      <c r="AL50" s="11" t="n">
        <v>0.341045187738303</v>
      </c>
      <c r="AM50" s="11" t="n">
        <v>0.486334882072618</v>
      </c>
      <c r="AN50" s="11" t="n">
        <v>0.471239443246318</v>
      </c>
      <c r="AO50" s="11" t="n">
        <v>0.458640248101989</v>
      </c>
      <c r="AP50" s="11" t="n">
        <v>0.418660561181873</v>
      </c>
      <c r="AQ50" s="11" t="n">
        <v>0.299017416671135</v>
      </c>
      <c r="AR50" s="11" t="n">
        <v>0.290068784865022</v>
      </c>
      <c r="AS50" s="11" t="n">
        <v>0.285799820401923</v>
      </c>
      <c r="AT50" s="11" t="n">
        <v>0.283858028915804</v>
      </c>
      <c r="AU50" s="11" t="n">
        <v>0.229986170151172</v>
      </c>
      <c r="AV50" s="11" t="n">
        <v>0.231508439822963</v>
      </c>
      <c r="AW50" s="11" t="n">
        <v>0.231810035087975</v>
      </c>
      <c r="AX50" s="11" t="n">
        <v>0.202829263722465</v>
      </c>
      <c r="AY50" s="11" t="n">
        <v>0.196340307443276</v>
      </c>
      <c r="AZ50" s="11" t="n">
        <v>0.190472750594651</v>
      </c>
      <c r="BA50" s="11" t="n">
        <v>0.189143686040007</v>
      </c>
      <c r="BB50" s="11" t="n">
        <v>0.17235335682728</v>
      </c>
      <c r="BC50" s="11" t="n">
        <v>0.172926873963084</v>
      </c>
      <c r="BD50" s="11" t="n">
        <v>0.174040946286011</v>
      </c>
      <c r="BE50" s="11" t="n">
        <v>0.175106614145718</v>
      </c>
      <c r="BF50" s="11" t="n">
        <v>0.175992443049527</v>
      </c>
      <c r="BG50" s="11" t="n">
        <v>0.176594369412417</v>
      </c>
      <c r="BH50" s="11" t="n">
        <v>0.177397608314165</v>
      </c>
      <c r="BI50" s="11" t="n">
        <v>0.178040660157021</v>
      </c>
      <c r="BJ50" s="11" t="n">
        <v>0.178817818043106</v>
      </c>
      <c r="BK50" s="11" t="n">
        <v>0.180097481163842</v>
      </c>
      <c r="BL50" s="11" t="n">
        <v>0.180779520335322</v>
      </c>
      <c r="BM50" s="11" t="n">
        <v>0.181921831481715</v>
      </c>
      <c r="BN50" s="11" t="n">
        <v>2.1759203223411</v>
      </c>
      <c r="BO50" s="11" t="n">
        <v>1.38873022100506</v>
      </c>
      <c r="BP50" s="11" t="n">
        <v>1.05296079667133</v>
      </c>
      <c r="BQ50" s="11" t="n">
        <v>0.8835714772621</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71.8668526746167</v>
      </c>
      <c r="M52" s="11" t="n">
        <v>71.437171210827</v>
      </c>
      <c r="N52" s="11" t="n">
        <v>68.9718781335775</v>
      </c>
      <c r="O52" s="11" t="n">
        <v>66.1216312178532</v>
      </c>
      <c r="P52" s="11" t="n">
        <v>63.8864157779356</v>
      </c>
      <c r="Q52" s="11" t="n">
        <v>63.4236235102702</v>
      </c>
      <c r="R52" s="11" t="n">
        <v>59.9558712542823</v>
      </c>
      <c r="S52" s="11" t="n">
        <v>55.2688216322833</v>
      </c>
      <c r="T52" s="11" t="n">
        <v>52.9833963820738</v>
      </c>
      <c r="U52" s="11" t="n">
        <v>51.0954461139793</v>
      </c>
      <c r="V52" s="11" t="n">
        <v>47.3995206969938</v>
      </c>
      <c r="W52" s="11" t="n">
        <v>42.6149904906712</v>
      </c>
      <c r="X52" s="11" t="n">
        <v>38.5185777277248</v>
      </c>
      <c r="Y52" s="11" t="n">
        <v>33.2083199621817</v>
      </c>
      <c r="Z52" s="11" t="n">
        <v>30.8558884109676</v>
      </c>
      <c r="AA52" s="11" t="n">
        <v>29.1299107625631</v>
      </c>
      <c r="AB52" s="11" t="n">
        <v>25.716866743767</v>
      </c>
      <c r="AC52" s="11" t="n">
        <v>23.1953408858308</v>
      </c>
      <c r="AD52" s="11" t="n">
        <v>22.3648223414965</v>
      </c>
      <c r="AE52" s="11" t="n">
        <v>21.1547525779738</v>
      </c>
      <c r="AF52" s="11" t="n">
        <v>21.4242303804281</v>
      </c>
      <c r="AG52" s="11" t="n">
        <v>21.2945620332643</v>
      </c>
      <c r="AH52" s="11" t="n">
        <v>20.8253175246668</v>
      </c>
      <c r="AI52" s="11" t="n">
        <v>19.3011141759919</v>
      </c>
      <c r="AJ52" s="11" t="n">
        <v>18.1553437634056</v>
      </c>
      <c r="AK52" s="11" t="n">
        <v>18.0570091121117</v>
      </c>
      <c r="AL52" s="11" t="n">
        <v>17.8914413549416</v>
      </c>
      <c r="AM52" s="11" t="n">
        <v>17.0850291704747</v>
      </c>
      <c r="AN52" s="11" t="n">
        <v>16.7087434666579</v>
      </c>
      <c r="AO52" s="11" t="n">
        <v>16.2838710150735</v>
      </c>
      <c r="AP52" s="11" t="n">
        <v>16.5890651383816</v>
      </c>
      <c r="AQ52" s="11" t="n">
        <v>15.6118155960687</v>
      </c>
      <c r="AR52" s="11" t="n">
        <v>14.7518597278136</v>
      </c>
      <c r="AS52" s="11" t="n">
        <v>13.961434129156</v>
      </c>
      <c r="AT52" s="11" t="n">
        <v>13.2646876862591</v>
      </c>
      <c r="AU52" s="11" t="n">
        <v>12.6516465016031</v>
      </c>
      <c r="AV52" s="11" t="n">
        <v>12.1140842315233</v>
      </c>
      <c r="AW52" s="11" t="n">
        <v>11.6466433210186</v>
      </c>
      <c r="AX52" s="11" t="n">
        <v>11.2415414735956</v>
      </c>
      <c r="AY52" s="11" t="n">
        <v>10.8907584485973</v>
      </c>
      <c r="AZ52" s="11" t="n">
        <v>10.5865874968246</v>
      </c>
      <c r="BA52" s="11" t="n">
        <v>10.3249136396055</v>
      </c>
      <c r="BB52" s="11" t="n">
        <v>10.1020040487465</v>
      </c>
      <c r="BC52" s="11" t="n">
        <v>9.91471415800085</v>
      </c>
      <c r="BD52" s="11" t="n">
        <v>9.79662181413858</v>
      </c>
      <c r="BE52" s="11" t="n">
        <v>9.70809975879886</v>
      </c>
      <c r="BF52" s="11" t="n">
        <v>9.64669457071947</v>
      </c>
      <c r="BG52" s="11" t="n">
        <v>9.61017841441223</v>
      </c>
      <c r="BH52" s="11" t="n">
        <v>9.59728490216657</v>
      </c>
      <c r="BI52" s="11" t="n">
        <v>9.60471174816616</v>
      </c>
      <c r="BJ52" s="11" t="n">
        <v>9.6306070877834</v>
      </c>
      <c r="BK52" s="11" t="n">
        <v>9.67346437631095</v>
      </c>
      <c r="BL52" s="11" t="n">
        <v>9.73210212346832</v>
      </c>
      <c r="BM52" s="11" t="n">
        <v>9.80541975718671</v>
      </c>
      <c r="BN52" s="11" t="n">
        <v>84.5581501455294</v>
      </c>
      <c r="BO52" s="11" t="n">
        <v>70.2414436409005</v>
      </c>
      <c r="BP52" s="11" t="n">
        <v>56.4796149715593</v>
      </c>
      <c r="BQ52" s="11" t="n">
        <v>49.8463534192903</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0.914269940585073</v>
      </c>
      <c r="K53" s="11" t="n">
        <v>0.948977695066554</v>
      </c>
      <c r="L53" s="11" t="n">
        <v>0.960229133477018</v>
      </c>
      <c r="M53" s="11" t="n">
        <v>0.990264616022948</v>
      </c>
      <c r="N53" s="11" t="n">
        <v>0.9892457885681</v>
      </c>
      <c r="O53" s="11" t="n">
        <v>1.03182659578218</v>
      </c>
      <c r="P53" s="11" t="n">
        <v>1.01501682257822</v>
      </c>
      <c r="Q53" s="11" t="n">
        <v>1.03773758149955</v>
      </c>
      <c r="R53" s="11" t="n">
        <v>1.04726854425037</v>
      </c>
      <c r="S53" s="11" t="n">
        <v>1.05229317532329</v>
      </c>
      <c r="T53" s="11" t="n">
        <v>1.09134261724207</v>
      </c>
      <c r="U53" s="11" t="n">
        <v>1.11377060691125</v>
      </c>
      <c r="V53" s="11" t="n">
        <v>1.14055693363522</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1.51665579467754</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1.48301869718965</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42.7507635540939</v>
      </c>
      <c r="AO54" s="11" t="n">
        <v>42.8044022924069</v>
      </c>
      <c r="AP54" s="11" t="n">
        <v>42.8466229017644</v>
      </c>
      <c r="AQ54" s="11" t="n">
        <v>41.8897239865406</v>
      </c>
      <c r="AR54" s="11" t="n">
        <v>42.1602366039832</v>
      </c>
      <c r="AS54" s="11" t="n">
        <v>41.1318289784734</v>
      </c>
      <c r="AT54" s="11" t="n">
        <v>41.0518607600423</v>
      </c>
      <c r="AU54" s="11" t="n">
        <v>40.687426353383</v>
      </c>
      <c r="AV54" s="11" t="n">
        <v>39.9708469248789</v>
      </c>
      <c r="AW54" s="11" t="n">
        <v>39.4392837790889</v>
      </c>
      <c r="AX54" s="11" t="n">
        <v>39.2314623612126</v>
      </c>
      <c r="AY54" s="11" t="n">
        <v>38.6148866244009</v>
      </c>
      <c r="AZ54" s="11" t="n">
        <v>37.8322104319679</v>
      </c>
      <c r="BA54" s="11" t="n">
        <v>37.6572048114008</v>
      </c>
      <c r="BB54" s="11" t="n">
        <v>37.688336646752</v>
      </c>
      <c r="BC54" s="11" t="n">
        <v>37.4017852537573</v>
      </c>
      <c r="BD54" s="11" t="n">
        <v>37.8702317293386</v>
      </c>
      <c r="BE54" s="11" t="n">
        <v>38.392429095249</v>
      </c>
      <c r="BF54" s="11" t="n">
        <v>38.3007413081186</v>
      </c>
      <c r="BG54" s="11" t="n">
        <v>37.9738437532476</v>
      </c>
      <c r="BH54" s="11" t="n">
        <v>37.4835405488616</v>
      </c>
      <c r="BI54" s="11" t="n">
        <v>36.9652537304705</v>
      </c>
      <c r="BJ54" s="11" t="n">
        <v>36.2207082630601</v>
      </c>
      <c r="BK54" s="11" t="n">
        <v>36.4056406076695</v>
      </c>
      <c r="BL54" s="11" t="n">
        <v>35.2385135124258</v>
      </c>
      <c r="BM54" s="11" t="n">
        <v>34.6523917218205</v>
      </c>
      <c r="BN54" s="11" t="n">
        <v>209.465088371389</v>
      </c>
      <c r="BO54" s="11" t="n">
        <v>206.921076682422</v>
      </c>
      <c r="BP54" s="11" t="n">
        <v>195.088690121549</v>
      </c>
      <c r="BQ54" s="11" t="n">
        <v>189.009987536498</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0.00478137412635384</v>
      </c>
      <c r="AO55" s="11" t="n">
        <v>0.00476635834220159</v>
      </c>
      <c r="AP55" s="11" t="n">
        <v>0.00474627794322422</v>
      </c>
      <c r="AQ55" s="11" t="n">
        <v>0.00465545474291099</v>
      </c>
      <c r="AR55" s="11" t="n">
        <v>0.00465672156489841</v>
      </c>
      <c r="AS55" s="11" t="n">
        <v>0.00456220948071789</v>
      </c>
      <c r="AT55" s="11" t="n">
        <v>0.0045382028784724</v>
      </c>
      <c r="AU55" s="11" t="n">
        <v>0.00449570218158978</v>
      </c>
      <c r="AV55" s="11" t="n">
        <v>0.0044252743752476</v>
      </c>
      <c r="AW55" s="11" t="n">
        <v>0.0043681968110305</v>
      </c>
      <c r="AX55" s="11" t="n">
        <v>0.00434008368095937</v>
      </c>
      <c r="AY55" s="11" t="n">
        <v>0.00428731179147092</v>
      </c>
      <c r="AZ55" s="11" t="n">
        <v>0.00422271263955403</v>
      </c>
      <c r="BA55" s="11" t="n">
        <v>0.00419602603393564</v>
      </c>
      <c r="BB55" s="11" t="n">
        <v>0.00418784211865865</v>
      </c>
      <c r="BC55" s="11" t="n">
        <v>0.00415232533199418</v>
      </c>
      <c r="BD55" s="11" t="n">
        <v>0.00416940909189461</v>
      </c>
      <c r="BE55" s="11" t="n">
        <v>0.00418860109339603</v>
      </c>
      <c r="BF55" s="11" t="n">
        <v>0.0041130673621945</v>
      </c>
      <c r="BG55" s="11" t="n">
        <v>0.00401610705854469</v>
      </c>
      <c r="BH55" s="11" t="n">
        <v>0.00390752254264975</v>
      </c>
      <c r="BI55" s="11" t="n">
        <v>0.0037980080948107</v>
      </c>
      <c r="BJ55" s="11" t="n">
        <v>0.00367179722672642</v>
      </c>
      <c r="BK55" s="11" t="n">
        <v>0.00361413237251354</v>
      </c>
      <c r="BL55" s="11" t="n">
        <v>0.00346195893244266</v>
      </c>
      <c r="BM55" s="11" t="n">
        <v>0.00335582640557087</v>
      </c>
      <c r="BN55" s="11" t="n">
        <v>0.0236590465808732</v>
      </c>
      <c r="BO55" s="11" t="n">
        <v>0.0229082908485895</v>
      </c>
      <c r="BP55" s="11" t="n">
        <v>0.0216435792982624</v>
      </c>
      <c r="BQ55" s="11" t="n">
        <v>0.0208942036698791</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0.384667961468078</v>
      </c>
      <c r="AO56" s="11" t="n">
        <v>0.384878566222545</v>
      </c>
      <c r="AP56" s="11" t="n">
        <v>0.38493740238459</v>
      </c>
      <c r="AQ56" s="11" t="n">
        <v>0.376536997319647</v>
      </c>
      <c r="AR56" s="11" t="n">
        <v>0.378595804706179</v>
      </c>
      <c r="AS56" s="11" t="n">
        <v>0.369607747091034</v>
      </c>
      <c r="AT56" s="11" t="n">
        <v>0.368693216575447</v>
      </c>
      <c r="AU56" s="11" t="n">
        <v>0.365391524754509</v>
      </c>
      <c r="AV56" s="11" t="n">
        <v>0.359069578939282</v>
      </c>
      <c r="AW56" s="11" t="n">
        <v>0.35431734770045</v>
      </c>
      <c r="AX56" s="11" t="n">
        <v>0.352384349442521</v>
      </c>
      <c r="AY56" s="11" t="n">
        <v>0.347045996875512</v>
      </c>
      <c r="AZ56" s="11" t="n">
        <v>0.340300461483622</v>
      </c>
      <c r="BA56" s="11" t="n">
        <v>0.338633693140502</v>
      </c>
      <c r="BB56" s="11" t="n">
        <v>0.338762804309407</v>
      </c>
      <c r="BC56" s="11" t="n">
        <v>0.336139545177534</v>
      </c>
      <c r="BD56" s="11" t="n">
        <v>0.339897527393844</v>
      </c>
      <c r="BE56" s="11" t="n">
        <v>0.344088627100641</v>
      </c>
      <c r="BF56" s="11" t="n">
        <v>0.342418607155411</v>
      </c>
      <c r="BG56" s="11" t="n">
        <v>0.338695358733107</v>
      </c>
      <c r="BH56" s="11" t="n">
        <v>0.333587902085836</v>
      </c>
      <c r="BI56" s="11" t="n">
        <v>0.328257127452876</v>
      </c>
      <c r="BJ56" s="11" t="n">
        <v>0.32100193712739</v>
      </c>
      <c r="BK56" s="11" t="n">
        <v>0.321651746369137</v>
      </c>
      <c r="BL56" s="11" t="n">
        <v>0.310869926079046</v>
      </c>
      <c r="BM56" s="11" t="n">
        <v>0.305070765834023</v>
      </c>
      <c r="BN56" s="11" t="n">
        <v>1.88775127416554</v>
      </c>
      <c r="BO56" s="11" t="n">
        <v>1.85882529044682</v>
      </c>
      <c r="BP56" s="11" t="n">
        <v>1.75311773444139</v>
      </c>
      <c r="BQ56" s="11" t="n">
        <v>1.69752219712193</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162</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447.51561627128</v>
      </c>
      <c r="AI4" s="11" t="n">
        <v>407.975238765153</v>
      </c>
      <c r="AJ4" s="11" t="n">
        <v>422.475570116601</v>
      </c>
      <c r="AK4" s="11" t="n">
        <v>404.682267986786</v>
      </c>
      <c r="AL4" s="11" t="n">
        <v>384.972556090126</v>
      </c>
      <c r="AM4" s="11" t="n">
        <v>371.759803404664</v>
      </c>
      <c r="AN4" s="11" t="n">
        <v>359.998079718019</v>
      </c>
      <c r="AO4" s="11" t="n">
        <v>347.533550603236</v>
      </c>
      <c r="AP4" s="11" t="n">
        <v>338.959260344384</v>
      </c>
      <c r="AQ4" s="11" t="n">
        <v>331.386921981573</v>
      </c>
      <c r="AR4" s="11" t="n">
        <v>326.491271563129</v>
      </c>
      <c r="AS4" s="11" t="n">
        <v>318.814078609947</v>
      </c>
      <c r="AT4" s="11" t="n">
        <v>311.116459501953</v>
      </c>
      <c r="AU4" s="11" t="n">
        <v>305.028734864806</v>
      </c>
      <c r="AV4" s="11" t="n">
        <v>300.33048966273</v>
      </c>
      <c r="AW4" s="11" t="n">
        <v>296.662306485334</v>
      </c>
      <c r="AX4" s="11" t="n">
        <v>293.839737742473</v>
      </c>
      <c r="AY4" s="11" t="n">
        <v>288.205043028935</v>
      </c>
      <c r="AZ4" s="11" t="n">
        <v>285.281200552909</v>
      </c>
      <c r="BA4" s="11" t="n">
        <v>283.157657306561</v>
      </c>
      <c r="BB4" s="11" t="n">
        <v>280.708872145449</v>
      </c>
      <c r="BC4" s="11" t="n">
        <v>279.35062562469</v>
      </c>
      <c r="BD4" s="11" t="n">
        <v>278.613094946036</v>
      </c>
      <c r="BE4" s="11" t="n">
        <v>277.966530212762</v>
      </c>
      <c r="BF4" s="11" t="n">
        <v>278.030577068858</v>
      </c>
      <c r="BG4" s="11" t="n">
        <v>278.625417733826</v>
      </c>
      <c r="BH4" s="11" t="n">
        <v>278.666064592415</v>
      </c>
      <c r="BI4" s="11" t="n">
        <v>279.501565470299</v>
      </c>
      <c r="BJ4" s="11" t="n">
        <v>280.274396404601</v>
      </c>
      <c r="BK4" s="11" t="n">
        <v>279.453280407107</v>
      </c>
      <c r="BL4" s="11" t="n">
        <v>277.055795938478</v>
      </c>
      <c r="BM4" s="11" t="n">
        <v>276.673488775707</v>
      </c>
      <c r="BN4" s="11" t="n">
        <v>1803.22325016043</v>
      </c>
      <c r="BO4" s="11" t="n">
        <v>1592.83746652141</v>
      </c>
      <c r="BP4" s="11" t="n">
        <v>1464.31877747238</v>
      </c>
      <c r="BQ4" s="11" t="n">
        <v>1399.7967802355</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414.090851598087</v>
      </c>
      <c r="AN5" s="11" t="n">
        <v>402.094440591853</v>
      </c>
      <c r="AO5" s="11" t="n">
        <v>388.233719809701</v>
      </c>
      <c r="AP5" s="11" t="n">
        <v>379.016668516198</v>
      </c>
      <c r="AQ5" s="11" t="n">
        <v>370.663415092901</v>
      </c>
      <c r="AR5" s="11" t="n">
        <v>366.116140879513</v>
      </c>
      <c r="AS5" s="11" t="n">
        <v>357.574120190548</v>
      </c>
      <c r="AT5" s="11" t="n">
        <v>349.911830277514</v>
      </c>
      <c r="AU5" s="11" t="n">
        <v>343.581050532858</v>
      </c>
      <c r="AV5" s="11" t="n">
        <v>338.301685882745</v>
      </c>
      <c r="AW5" s="11" t="n">
        <v>334.218578315453</v>
      </c>
      <c r="AX5" s="11" t="n">
        <v>331.276321866539</v>
      </c>
      <c r="AY5" s="11" t="n">
        <v>325.128169786848</v>
      </c>
      <c r="AZ5" s="11" t="n">
        <v>321.527538485625</v>
      </c>
      <c r="BA5" s="11" t="n">
        <v>319.298382046008</v>
      </c>
      <c r="BB5" s="11" t="n">
        <v>316.93810078037</v>
      </c>
      <c r="BC5" s="11" t="n">
        <v>315.361905012273</v>
      </c>
      <c r="BD5" s="11" t="n">
        <v>315.103149408805</v>
      </c>
      <c r="BE5" s="11" t="n">
        <v>314.987741757956</v>
      </c>
      <c r="BF5" s="11" t="n">
        <v>314.986420107156</v>
      </c>
      <c r="BG5" s="11" t="n">
        <v>315.289815567878</v>
      </c>
      <c r="BH5" s="11" t="n">
        <v>314.881926607072</v>
      </c>
      <c r="BI5" s="11" t="n">
        <v>315.241850441876</v>
      </c>
      <c r="BJ5" s="11" t="n">
        <v>315.320927842215</v>
      </c>
      <c r="BK5" s="11" t="n">
        <v>314.700496490855</v>
      </c>
      <c r="BL5" s="11" t="n">
        <v>311.20163645487</v>
      </c>
      <c r="BM5" s="11" t="n">
        <v>310.277478254658</v>
      </c>
      <c r="BN5" s="11" t="n">
        <v>2007.88312041593</v>
      </c>
      <c r="BO5" s="11" t="n">
        <v>1787.84655697333</v>
      </c>
      <c r="BP5" s="11" t="n">
        <v>1650.45229433721</v>
      </c>
      <c r="BQ5" s="11" t="n">
        <v>1581.68927900541</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371.759803404664</v>
      </c>
      <c r="AN6" s="11" t="n">
        <v>359.998079718019</v>
      </c>
      <c r="AO6" s="11" t="n">
        <v>347.533550603236</v>
      </c>
      <c r="AP6" s="11" t="n">
        <v>338.959260344384</v>
      </c>
      <c r="AQ6" s="11" t="n">
        <v>331.386921981573</v>
      </c>
      <c r="AR6" s="11" t="n">
        <v>326.491271563129</v>
      </c>
      <c r="AS6" s="11" t="n">
        <v>318.814078609947</v>
      </c>
      <c r="AT6" s="11" t="n">
        <v>311.116459501953</v>
      </c>
      <c r="AU6" s="11" t="n">
        <v>305.028734864805</v>
      </c>
      <c r="AV6" s="11" t="n">
        <v>338.301685882745</v>
      </c>
      <c r="AW6" s="11" t="n">
        <v>334.218578315453</v>
      </c>
      <c r="AX6" s="11" t="n">
        <v>331.276321866539</v>
      </c>
      <c r="AY6" s="11" t="n">
        <v>325.128169786848</v>
      </c>
      <c r="AZ6" s="11" t="n">
        <v>321.527538485626</v>
      </c>
      <c r="BA6" s="11"/>
      <c r="BB6" s="11"/>
      <c r="BC6" s="11"/>
      <c r="BD6" s="11"/>
      <c r="BE6" s="11"/>
      <c r="BF6" s="11"/>
      <c r="BG6" s="11"/>
      <c r="BH6" s="11"/>
      <c r="BI6" s="11"/>
      <c r="BJ6" s="11"/>
      <c r="BK6" s="11"/>
      <c r="BL6" s="11"/>
      <c r="BM6" s="11"/>
      <c r="BN6" s="11" t="n">
        <v>1803.22325016043</v>
      </c>
      <c r="BO6" s="11" t="n">
        <v>1592.83746652141</v>
      </c>
      <c r="BP6" s="11" t="n">
        <v>1650.45229433721</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371.759803404664</v>
      </c>
      <c r="AN7" s="11" t="n">
        <v>359.998079718019</v>
      </c>
      <c r="AO7" s="11" t="n">
        <v>347.533550603236</v>
      </c>
      <c r="AP7" s="11" t="n">
        <v>338.959260344384</v>
      </c>
      <c r="AQ7" s="11" t="n">
        <v>331.386921981573</v>
      </c>
      <c r="AR7" s="11" t="n">
        <v>326.491271563129</v>
      </c>
      <c r="AS7" s="11" t="n">
        <v>318.814078609947</v>
      </c>
      <c r="AT7" s="11" t="n">
        <v>311.116459501953</v>
      </c>
      <c r="AU7" s="11" t="n">
        <v>305.028734864805</v>
      </c>
      <c r="AV7" s="11"/>
      <c r="AW7" s="11"/>
      <c r="AX7" s="11"/>
      <c r="AY7" s="11"/>
      <c r="AZ7" s="11"/>
      <c r="BA7" s="11"/>
      <c r="BB7" s="11"/>
      <c r="BC7" s="11"/>
      <c r="BD7" s="11"/>
      <c r="BE7" s="11"/>
      <c r="BF7" s="11"/>
      <c r="BG7" s="11"/>
      <c r="BH7" s="11"/>
      <c r="BI7" s="11"/>
      <c r="BJ7" s="11"/>
      <c r="BK7" s="11"/>
      <c r="BL7" s="11"/>
      <c r="BM7" s="11"/>
      <c r="BN7" s="11" t="n">
        <v>1803.22325016043</v>
      </c>
      <c r="BO7" s="11" t="n">
        <v>1592.83746652141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338.301685882745</v>
      </c>
      <c r="AW8" s="11" t="n">
        <v>334.218578315453</v>
      </c>
      <c r="AX8" s="11" t="n">
        <v>331.276321866539</v>
      </c>
      <c r="AY8" s="11" t="n">
        <v>325.128169786848</v>
      </c>
      <c r="AZ8" s="11" t="n">
        <v>321.527538485626</v>
      </c>
      <c r="BA8" s="11"/>
      <c r="BB8" s="11"/>
      <c r="BC8" s="11"/>
      <c r="BD8" s="11"/>
      <c r="BE8" s="11"/>
      <c r="BF8" s="11"/>
      <c r="BG8" s="11"/>
      <c r="BH8" s="11"/>
      <c r="BI8" s="11"/>
      <c r="BJ8" s="11"/>
      <c r="BK8" s="11"/>
      <c r="BL8" s="11"/>
      <c r="BM8" s="11"/>
      <c r="BN8" s="11"/>
      <c r="BO8" s="11"/>
      <c r="BP8" s="11" t="n">
        <v>1650.45229433721</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87.6506423572419</v>
      </c>
      <c r="AI10" s="11" t="n">
        <v>87.9661491234385</v>
      </c>
      <c r="AJ10" s="11" t="n">
        <v>92.9532506574566</v>
      </c>
      <c r="AK10" s="11" t="n">
        <v>78.6740673305288</v>
      </c>
      <c r="AL10" s="11" t="n">
        <v>74.0601097199175</v>
      </c>
      <c r="AM10" s="11" t="n">
        <v>76.8964500445979</v>
      </c>
      <c r="AN10" s="11" t="n">
        <v>79.3397680320094</v>
      </c>
      <c r="AO10" s="11" t="n">
        <v>77.640833348859</v>
      </c>
      <c r="AP10" s="11" t="n">
        <v>75.6138817847469</v>
      </c>
      <c r="AQ10" s="11" t="n">
        <v>75.0676624248245</v>
      </c>
      <c r="AR10" s="11" t="n">
        <v>76.2097421309169</v>
      </c>
      <c r="AS10" s="11" t="n">
        <v>76.0973564051482</v>
      </c>
      <c r="AT10" s="11" t="n">
        <v>76.1170835580568</v>
      </c>
      <c r="AU10" s="11" t="n">
        <v>76.1121285107834</v>
      </c>
      <c r="AV10" s="11" t="n">
        <v>76.1607306680861</v>
      </c>
      <c r="AW10" s="11" t="n">
        <v>76.2310555606498</v>
      </c>
      <c r="AX10" s="11" t="n">
        <v>76.3511255458847</v>
      </c>
      <c r="AY10" s="11" t="n">
        <v>76.7622014552112</v>
      </c>
      <c r="AZ10" s="11" t="n">
        <v>76.9233734639683</v>
      </c>
      <c r="BA10" s="11" t="n">
        <v>77.1536128820313</v>
      </c>
      <c r="BB10" s="11" t="n">
        <v>77.3926135591137</v>
      </c>
      <c r="BC10" s="11" t="n">
        <v>77.6722182878838</v>
      </c>
      <c r="BD10" s="11" t="n">
        <v>78.0366666689952</v>
      </c>
      <c r="BE10" s="11" t="n">
        <v>78.2145237606275</v>
      </c>
      <c r="BF10" s="11" t="n">
        <v>78.3325145283656</v>
      </c>
      <c r="BG10" s="11" t="n">
        <v>78.6512427616957</v>
      </c>
      <c r="BH10" s="11" t="n">
        <v>78.6315943514807</v>
      </c>
      <c r="BI10" s="11" t="n">
        <v>78.70879653073</v>
      </c>
      <c r="BJ10" s="11" t="n">
        <v>78.9294760379608</v>
      </c>
      <c r="BK10" s="11" t="n">
        <v>78.9689981646891</v>
      </c>
      <c r="BL10" s="11" t="n">
        <v>78.931512341743</v>
      </c>
      <c r="BM10" s="11" t="n">
        <v>78.8885750736596</v>
      </c>
      <c r="BN10" s="11" t="n">
        <v>383.551042930131</v>
      </c>
      <c r="BO10" s="11" t="n">
        <v>379.60397302973</v>
      </c>
      <c r="BP10" s="11" t="n">
        <v>382.4284866938</v>
      </c>
      <c r="BQ10" s="11" t="n">
        <v>388.469635158652</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114.259731415925</v>
      </c>
      <c r="AO11" s="11" t="n">
        <v>110.402483926546</v>
      </c>
      <c r="AP11" s="11" t="n">
        <v>106.798884606103</v>
      </c>
      <c r="AQ11" s="11" t="n">
        <v>102.499780646496</v>
      </c>
      <c r="AR11" s="11" t="n">
        <v>97.455073555371</v>
      </c>
      <c r="AS11" s="11" t="n">
        <v>91.4729743362854</v>
      </c>
      <c r="AT11" s="11" t="n">
        <v>86.0092977336766</v>
      </c>
      <c r="AU11" s="11" t="n">
        <v>80.9676348973395</v>
      </c>
      <c r="AV11" s="11" t="n">
        <v>76.6240626641318</v>
      </c>
      <c r="AW11" s="11" t="n">
        <v>72.7559578225113</v>
      </c>
      <c r="AX11" s="11" t="n">
        <v>69.3839921310747</v>
      </c>
      <c r="AY11" s="11" t="n">
        <v>66.3352990588379</v>
      </c>
      <c r="AZ11" s="11" t="n">
        <v>63.6003122891956</v>
      </c>
      <c r="BA11" s="11" t="n">
        <v>61.18724231013</v>
      </c>
      <c r="BB11" s="11" t="n">
        <v>59.1132672728527</v>
      </c>
      <c r="BC11" s="11" t="n">
        <v>57.2209728477674</v>
      </c>
      <c r="BD11" s="11" t="n">
        <v>55.6147202994772</v>
      </c>
      <c r="BE11" s="11" t="n">
        <v>54.2007696498763</v>
      </c>
      <c r="BF11" s="11" t="n">
        <v>53.0831550170265</v>
      </c>
      <c r="BG11" s="11" t="n">
        <v>52.1040973262935</v>
      </c>
      <c r="BH11" s="11" t="n">
        <v>51.2746573308316</v>
      </c>
      <c r="BI11" s="11" t="n">
        <v>50.6350883660229</v>
      </c>
      <c r="BJ11" s="11" t="n">
        <v>50.0827587292587</v>
      </c>
      <c r="BK11" s="11" t="n">
        <v>49.7611055230689</v>
      </c>
      <c r="BL11" s="11" t="n">
        <v>49.4450083469217</v>
      </c>
      <c r="BM11" s="11" t="n">
        <v>49.2022007879009</v>
      </c>
      <c r="BN11" s="11" t="n">
        <v>552.728727216913</v>
      </c>
      <c r="BO11" s="11" t="n">
        <v>458.404761169168</v>
      </c>
      <c r="BP11" s="11" t="n">
        <v>348.699623965751</v>
      </c>
      <c r="BQ11" s="11" t="n">
        <v>287.336972380104</v>
      </c>
    </row>
    <row r="12" customFormat="false" ht="13.8" hidden="false" customHeight="false" outlineLevel="0" collapsed="false">
      <c r="A12" s="11" t="s">
        <v>137</v>
      </c>
      <c r="B12" s="11" t="s">
        <v>147</v>
      </c>
      <c r="C12" s="11" t="s">
        <v>139</v>
      </c>
      <c r="D12" s="12"/>
      <c r="E12" s="11" t="n">
        <v>14.7877929691883</v>
      </c>
      <c r="F12" s="11" t="n">
        <v>15.1074685752626</v>
      </c>
      <c r="G12" s="11" t="n">
        <v>15.048263855421</v>
      </c>
      <c r="H12" s="11" t="n">
        <v>15.4393606194209</v>
      </c>
      <c r="I12" s="11" t="n">
        <v>16.2460055865244</v>
      </c>
      <c r="J12" s="11" t="n">
        <v>17.3106292243496</v>
      </c>
      <c r="K12" s="11" t="n">
        <v>18.0794444117165</v>
      </c>
      <c r="L12" s="11" t="n">
        <v>19.7762861133536</v>
      </c>
      <c r="M12" s="11" t="n">
        <v>16.7045015612936</v>
      </c>
      <c r="N12" s="11" t="n">
        <v>9.90829358971171</v>
      </c>
      <c r="O12" s="11" t="n">
        <v>8.74166413230262</v>
      </c>
      <c r="P12" s="11" t="n">
        <v>8.96060646846771</v>
      </c>
      <c r="Q12" s="11" t="n">
        <v>9.34796390566103</v>
      </c>
      <c r="R12" s="11" t="n">
        <v>9.91148119417866</v>
      </c>
      <c r="S12" s="11" t="n">
        <v>8.89494250946247</v>
      </c>
      <c r="T12" s="11" t="n">
        <v>9.5209712784328</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9.68541080398269</v>
      </c>
      <c r="AI12" s="11" t="n">
        <v>8.74353063685975</v>
      </c>
      <c r="AJ12" s="11" t="n">
        <v>8.16632698358806</v>
      </c>
      <c r="AK12" s="11" t="n">
        <v>7.55416736500505</v>
      </c>
      <c r="AL12" s="11" t="n">
        <v>7.04466698153908</v>
      </c>
      <c r="AM12" s="11" t="n">
        <v>6.61216432469942</v>
      </c>
      <c r="AN12" s="11" t="n">
        <v>6.26198481466507</v>
      </c>
      <c r="AO12" s="11" t="n">
        <v>5.9345486980428</v>
      </c>
      <c r="AP12" s="11" t="n">
        <v>5.62528837859824</v>
      </c>
      <c r="AQ12" s="11" t="n">
        <v>5.326849896076</v>
      </c>
      <c r="AR12" s="11" t="n">
        <v>5.05583262880687</v>
      </c>
      <c r="AS12" s="11" t="n">
        <v>4.82194424780008</v>
      </c>
      <c r="AT12" s="11" t="n">
        <v>4.61366583925396</v>
      </c>
      <c r="AU12" s="11" t="n">
        <v>4.41350101904454</v>
      </c>
      <c r="AV12" s="11" t="n">
        <v>4.23790151027039</v>
      </c>
      <c r="AW12" s="11" t="n">
        <v>4.07510202245846</v>
      </c>
      <c r="AX12" s="11" t="n">
        <v>3.92752251100253</v>
      </c>
      <c r="AY12" s="11" t="n">
        <v>3.79332865207698</v>
      </c>
      <c r="AZ12" s="11" t="n">
        <v>3.68721875777365</v>
      </c>
      <c r="BA12" s="11" t="n">
        <v>3.60898213485854</v>
      </c>
      <c r="BB12" s="11" t="n">
        <v>3.57479384362746</v>
      </c>
      <c r="BC12" s="11" t="n">
        <v>3.56291385672629</v>
      </c>
      <c r="BD12" s="11" t="n">
        <v>3.56542120647121</v>
      </c>
      <c r="BE12" s="11" t="n">
        <v>3.58036938460624</v>
      </c>
      <c r="BF12" s="11" t="n">
        <v>3.6048385694218</v>
      </c>
      <c r="BG12" s="11" t="n">
        <v>3.63707830122404</v>
      </c>
      <c r="BH12" s="11" t="n">
        <v>3.67524677841862</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60.1841046564571</v>
      </c>
      <c r="H13" s="11" t="n">
        <v>58.9674567061176</v>
      </c>
      <c r="I13" s="11" t="n">
        <v>51.9755160115748</v>
      </c>
      <c r="J13" s="11" t="n">
        <v>54.6368157177593</v>
      </c>
      <c r="K13" s="11" t="n">
        <v>53.9628451509152</v>
      </c>
      <c r="L13" s="11" t="n">
        <v>52.19875606945</v>
      </c>
      <c r="M13" s="11" t="n">
        <v>51.0085474737028</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17.9674559077503</v>
      </c>
      <c r="AO13" s="11" t="n">
        <v>17.1047923890029</v>
      </c>
      <c r="AP13" s="11" t="n">
        <v>16.5587528465638</v>
      </c>
      <c r="AQ13" s="11" t="n">
        <v>15.925158465435</v>
      </c>
      <c r="AR13" s="11" t="n">
        <v>15.2983711637038</v>
      </c>
      <c r="AS13" s="11" t="n">
        <v>14.3785991306589</v>
      </c>
      <c r="AT13" s="11" t="n">
        <v>13.3482029411083</v>
      </c>
      <c r="AU13" s="11" t="n">
        <v>12.8442474215872</v>
      </c>
      <c r="AV13" s="11" t="n">
        <v>12.0717147281042</v>
      </c>
      <c r="AW13" s="11" t="n">
        <v>11.9128167132572</v>
      </c>
      <c r="AX13" s="11" t="n">
        <v>11.706974573293</v>
      </c>
      <c r="AY13" s="11" t="n">
        <v>9.95025990179409</v>
      </c>
      <c r="AZ13" s="11" t="n">
        <v>9.65457418432024</v>
      </c>
      <c r="BA13" s="11" t="n">
        <v>9.28640875511462</v>
      </c>
      <c r="BB13" s="11" t="n">
        <v>8.62684203935506</v>
      </c>
      <c r="BC13" s="11" t="n">
        <v>8.41471376034691</v>
      </c>
      <c r="BD13" s="11" t="n">
        <v>7.20325777104295</v>
      </c>
      <c r="BE13" s="11" t="n">
        <v>6.45144974683452</v>
      </c>
      <c r="BF13" s="11" t="n">
        <v>6.20358835059756</v>
      </c>
      <c r="BG13" s="11" t="n">
        <v>6.19677891529978</v>
      </c>
      <c r="BH13" s="11" t="n">
        <v>6.18170148278959</v>
      </c>
      <c r="BI13" s="11" t="n">
        <v>6.18609490373036</v>
      </c>
      <c r="BJ13" s="11" t="n">
        <v>6.17021520042879</v>
      </c>
      <c r="BK13" s="11" t="n">
        <v>5.87580510931899</v>
      </c>
      <c r="BL13" s="11" t="n">
        <v>5.54433723586293</v>
      </c>
      <c r="BM13" s="11" t="n">
        <v>5.39953481408145</v>
      </c>
      <c r="BN13" s="11" t="n">
        <v>88.6490865768588</v>
      </c>
      <c r="BO13" s="11" t="n">
        <v>71.7945791224932</v>
      </c>
      <c r="BP13" s="11" t="n">
        <v>55.2963401007687</v>
      </c>
      <c r="BQ13" s="11" t="n">
        <v>39.9826720726941</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54.4633462168249</v>
      </c>
      <c r="AN14" s="11" t="n">
        <v>52.4003269804254</v>
      </c>
      <c r="AO14" s="11" t="n">
        <v>51.4005992057282</v>
      </c>
      <c r="AP14" s="11" t="n">
        <v>51.0755929448528</v>
      </c>
      <c r="AQ14" s="11" t="n">
        <v>50.7534144217276</v>
      </c>
      <c r="AR14" s="11" t="n">
        <v>50.4610696508717</v>
      </c>
      <c r="AS14" s="11" t="n">
        <v>50.0199041007605</v>
      </c>
      <c r="AT14" s="11" t="n">
        <v>49.9066880255482</v>
      </c>
      <c r="AU14" s="11" t="n">
        <v>49.6606078219547</v>
      </c>
      <c r="AV14" s="11" t="n">
        <v>49.6524571212892</v>
      </c>
      <c r="AW14" s="11" t="n">
        <v>49.3787486924021</v>
      </c>
      <c r="AX14" s="11" t="n">
        <v>49.3102048591928</v>
      </c>
      <c r="AY14" s="11" t="n">
        <v>49.270663793856</v>
      </c>
      <c r="AZ14" s="11" t="n">
        <v>49.4678592882951</v>
      </c>
      <c r="BA14" s="11" t="n">
        <v>49.5710439957653</v>
      </c>
      <c r="BB14" s="11" t="n">
        <v>49.8463533159193</v>
      </c>
      <c r="BC14" s="11" t="n">
        <v>50.4474673154454</v>
      </c>
      <c r="BD14" s="11" t="n">
        <v>51.2308103549762</v>
      </c>
      <c r="BE14" s="11" t="n">
        <v>51.5359918917713</v>
      </c>
      <c r="BF14" s="11" t="n">
        <v>51.9018870707075</v>
      </c>
      <c r="BG14" s="11" t="n">
        <v>52.3259947605432</v>
      </c>
      <c r="BH14" s="11" t="n">
        <v>52.8584557654965</v>
      </c>
      <c r="BI14" s="11" t="n">
        <v>53.3362633487581</v>
      </c>
      <c r="BJ14" s="11" t="n">
        <v>53.8630845923282</v>
      </c>
      <c r="BK14" s="11" t="n">
        <v>54.3723848835828</v>
      </c>
      <c r="BL14" s="11" t="n">
        <v>54.6839596130985</v>
      </c>
      <c r="BM14" s="11" t="n">
        <v>55.1666341360588</v>
      </c>
      <c r="BN14" s="11" t="n">
        <v>273.427380856797</v>
      </c>
      <c r="BO14" s="11" t="n">
        <v>250.801684020863</v>
      </c>
      <c r="BP14" s="11" t="n">
        <v>247.079933755035</v>
      </c>
      <c r="BQ14" s="11" t="n">
        <v>252.631666873877</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7.29888881565863</v>
      </c>
      <c r="L15" s="11" t="n">
        <v>6.74965008724044</v>
      </c>
      <c r="M15" s="11" t="n">
        <v>5.96165299469253</v>
      </c>
      <c r="N15" s="11" t="n">
        <v>6.07622611866308</v>
      </c>
      <c r="O15" s="11" t="n">
        <v>5.8165000617974</v>
      </c>
      <c r="P15" s="11" t="n">
        <v>5.17351914195232</v>
      </c>
      <c r="Q15" s="11" t="n">
        <v>4.3457864800215</v>
      </c>
      <c r="R15" s="11" t="n">
        <v>4.18559867581597</v>
      </c>
      <c r="S15" s="11" t="n">
        <v>3.32599036920681</v>
      </c>
      <c r="T15" s="11" t="n">
        <v>2.9562338693275</v>
      </c>
      <c r="U15" s="11" t="n">
        <v>2.53705519258907</v>
      </c>
      <c r="V15" s="11" t="n">
        <v>1.91003713291075</v>
      </c>
      <c r="W15" s="11" t="n">
        <v>1.22774903416888</v>
      </c>
      <c r="X15" s="11" t="n">
        <v>1.13558384043056</v>
      </c>
      <c r="Y15" s="11" t="n">
        <v>1.05006812917393</v>
      </c>
      <c r="Z15" s="11" t="n">
        <v>0.403891460082564</v>
      </c>
      <c r="AA15" s="11" t="n">
        <v>0.505346373580899</v>
      </c>
      <c r="AB15" s="11" t="n">
        <v>0.398968456201681</v>
      </c>
      <c r="AC15" s="11" t="n">
        <v>0.0720308545919073</v>
      </c>
      <c r="AD15" s="11" t="n">
        <v>-0.0617161466723142</v>
      </c>
      <c r="AE15" s="11" t="n">
        <v>0.295045210907603</v>
      </c>
      <c r="AF15" s="11" t="n">
        <v>0.0212098248235195</v>
      </c>
      <c r="AG15" s="11" t="n">
        <v>0.684754591408554</v>
      </c>
      <c r="AH15" s="11" t="n">
        <v>0.551649018647838</v>
      </c>
      <c r="AI15" s="11" t="n">
        <v>0.401275637288966</v>
      </c>
      <c r="AJ15" s="11" t="n">
        <v>0.235021339974388</v>
      </c>
      <c r="AK15" s="11" t="n">
        <v>0.541752124764709</v>
      </c>
      <c r="AL15" s="11" t="n">
        <v>1.11971398879782</v>
      </c>
      <c r="AM15" s="11" t="n">
        <v>0.772473937745446</v>
      </c>
      <c r="AN15" s="11" t="n">
        <v>0.85338772111931</v>
      </c>
      <c r="AO15" s="11" t="n">
        <v>0.941803891439629</v>
      </c>
      <c r="AP15" s="11" t="n">
        <v>1.05249354242531</v>
      </c>
      <c r="AQ15" s="11" t="n">
        <v>1.03922145167634</v>
      </c>
      <c r="AR15" s="11" t="n">
        <v>1.18494290131125</v>
      </c>
      <c r="AS15" s="11" t="n">
        <v>1.33687784699157</v>
      </c>
      <c r="AT15" s="11" t="n">
        <v>1.59385231293396</v>
      </c>
      <c r="AU15" s="11" t="n">
        <v>1.8600063221481</v>
      </c>
      <c r="AV15" s="11" t="n">
        <v>2.18002045240814</v>
      </c>
      <c r="AW15" s="11" t="n">
        <v>2.52245540334349</v>
      </c>
      <c r="AX15" s="11" t="n">
        <v>2.86269668185091</v>
      </c>
      <c r="AY15" s="11" t="n">
        <v>3.1910595289671</v>
      </c>
      <c r="AZ15" s="11" t="n">
        <v>3.48110002502241</v>
      </c>
      <c r="BA15" s="11" t="n">
        <v>3.70278702304934</v>
      </c>
      <c r="BB15" s="11" t="n">
        <v>3.92197933803403</v>
      </c>
      <c r="BC15" s="11" t="n">
        <v>4.10534913163693</v>
      </c>
      <c r="BD15" s="11" t="n">
        <v>4.29487024454034</v>
      </c>
      <c r="BE15" s="11" t="n">
        <v>4.41276908506391</v>
      </c>
      <c r="BF15" s="11" t="n">
        <v>4.48241621455591</v>
      </c>
      <c r="BG15" s="11" t="n">
        <v>4.51963787513381</v>
      </c>
      <c r="BH15" s="11" t="n">
        <v>4.51963829708352</v>
      </c>
      <c r="BI15" s="11" t="n">
        <v>4.54417530675067</v>
      </c>
      <c r="BJ15" s="11" t="n">
        <v>4.5413256061281</v>
      </c>
      <c r="BK15" s="11" t="n">
        <v>4.4904485985796</v>
      </c>
      <c r="BL15" s="11" t="n">
        <v>4.432307529618</v>
      </c>
      <c r="BM15" s="11" t="n">
        <v>4.35862189668962</v>
      </c>
      <c r="BN15" s="11" t="n">
        <v>4.73987308152751</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38.7228141612476</v>
      </c>
      <c r="AN16" s="11" t="n">
        <v>25.267909759866</v>
      </c>
      <c r="AO16" s="11" t="n">
        <v>21.0534939007117</v>
      </c>
      <c r="AP16" s="11" t="n">
        <v>18.9538511474754</v>
      </c>
      <c r="AQ16" s="11" t="n">
        <v>18.5264350767618</v>
      </c>
      <c r="AR16" s="11" t="n">
        <v>19.507637052415</v>
      </c>
      <c r="AS16" s="11" t="n">
        <v>20.2833514273273</v>
      </c>
      <c r="AT16" s="11" t="n">
        <v>20.0062422568263</v>
      </c>
      <c r="AU16" s="11" t="n">
        <v>20.4860100268966</v>
      </c>
      <c r="AV16" s="11" t="n">
        <v>21.5028645017871</v>
      </c>
      <c r="AW16" s="11" t="n">
        <v>22.6160482713941</v>
      </c>
      <c r="AX16" s="11" t="n">
        <v>23.7993494370061</v>
      </c>
      <c r="AY16" s="11" t="n">
        <v>23.0642572620819</v>
      </c>
      <c r="AZ16" s="11" t="n">
        <v>23.2579340891746</v>
      </c>
      <c r="BA16" s="11" t="n">
        <v>24.0431759796064</v>
      </c>
      <c r="BB16" s="11" t="n">
        <v>24.2050800128595</v>
      </c>
      <c r="BC16" s="11" t="n">
        <v>24.4373369734733</v>
      </c>
      <c r="BD16" s="11" t="n">
        <v>25.6047420738704</v>
      </c>
      <c r="BE16" s="11" t="n">
        <v>26.9345927097024</v>
      </c>
      <c r="BF16" s="11" t="n">
        <v>28.221082664295</v>
      </c>
      <c r="BG16" s="11" t="n">
        <v>29.3919923055307</v>
      </c>
      <c r="BH16" s="11" t="n">
        <v>30.1177485386079</v>
      </c>
      <c r="BI16" s="11" t="n">
        <v>31.3416555722474</v>
      </c>
      <c r="BJ16" s="11" t="n">
        <v>32.2499401642475</v>
      </c>
      <c r="BK16" s="11" t="n">
        <v>31.8505838660461</v>
      </c>
      <c r="BL16" s="11" t="n">
        <v>30.1757228144026</v>
      </c>
      <c r="BM16" s="11" t="n">
        <v>30.092362244367</v>
      </c>
      <c r="BN16" s="11" t="n">
        <v>147.931565738443</v>
      </c>
      <c r="BO16" s="11" t="n">
        <v>98.8096758402269</v>
      </c>
      <c r="BP16" s="11" t="n">
        <v>114.240453561444</v>
      </c>
      <c r="BQ16" s="11" t="n">
        <v>125.224927749512</v>
      </c>
    </row>
    <row r="17" customFormat="false" ht="13.8" hidden="false" customHeight="false" outlineLevel="0" collapsed="false">
      <c r="A17" s="11" t="s">
        <v>137</v>
      </c>
      <c r="B17" s="11" t="s">
        <v>152</v>
      </c>
      <c r="C17" s="11" t="s">
        <v>139</v>
      </c>
      <c r="D17" s="12"/>
      <c r="E17" s="11" t="n">
        <v>70.0972561713185</v>
      </c>
      <c r="F17" s="11" t="n">
        <v>70.9694415618387</v>
      </c>
      <c r="G17" s="11" t="n">
        <v>71.132294619585</v>
      </c>
      <c r="H17" s="11" t="n">
        <v>71.8122172910779</v>
      </c>
      <c r="I17" s="11" t="n">
        <v>72.2957485820843</v>
      </c>
      <c r="J17" s="11" t="n">
        <v>73.0157977582614</v>
      </c>
      <c r="K17" s="11" t="n">
        <v>73.6646952887652</v>
      </c>
      <c r="L17" s="11" t="n">
        <v>73.2585135370301</v>
      </c>
      <c r="M17" s="11" t="n">
        <v>72.857866554095</v>
      </c>
      <c r="N17" s="11" t="n">
        <v>70.3376634874946</v>
      </c>
      <c r="O17" s="11" t="n">
        <v>67.5493303656442</v>
      </c>
      <c r="P17" s="11" t="n">
        <v>65.2372960190355</v>
      </c>
      <c r="Q17" s="11" t="n">
        <v>64.7778902640439</v>
      </c>
      <c r="R17" s="11" t="n">
        <v>61.3375599734718</v>
      </c>
      <c r="S17" s="11" t="n">
        <v>56.672189154327</v>
      </c>
      <c r="T17" s="11" t="n">
        <v>54.4072424596031</v>
      </c>
      <c r="U17" s="11" t="n">
        <v>52.4213760930319</v>
      </c>
      <c r="V17" s="11" t="n">
        <v>48.8156230762384</v>
      </c>
      <c r="W17" s="11" t="n">
        <v>43.9393870887183</v>
      </c>
      <c r="X17" s="11" t="n">
        <v>39.8636352384587</v>
      </c>
      <c r="Y17" s="11" t="n">
        <v>34.6261847227992</v>
      </c>
      <c r="Z17" s="11" t="n">
        <v>32.3276483620429</v>
      </c>
      <c r="AA17" s="11" t="n">
        <v>30.6018352790237</v>
      </c>
      <c r="AB17" s="11" t="n">
        <v>27.2165028540719</v>
      </c>
      <c r="AC17" s="11" t="n">
        <v>24.7648403332128</v>
      </c>
      <c r="AD17" s="11" t="n">
        <v>23.9395272811453</v>
      </c>
      <c r="AE17" s="11" t="n">
        <v>22.7629858056435</v>
      </c>
      <c r="AF17" s="11" t="n">
        <v>23.1009316290312</v>
      </c>
      <c r="AG17" s="11" t="n">
        <v>22.9437825900192</v>
      </c>
      <c r="AH17" s="11" t="n">
        <v>22.4612195704563</v>
      </c>
      <c r="AI17" s="11" t="n">
        <v>20.9554957607479</v>
      </c>
      <c r="AJ17" s="11" t="n">
        <v>19.8902591743334</v>
      </c>
      <c r="AK17" s="11" t="n">
        <v>19.7926657409702</v>
      </c>
      <c r="AL17" s="11" t="n">
        <v>19.6853537342984</v>
      </c>
      <c r="AM17" s="11" t="n">
        <v>18.8578119235528</v>
      </c>
      <c r="AN17" s="11" t="n">
        <v>18.4909497183457</v>
      </c>
      <c r="AO17" s="11" t="n">
        <v>18.0743866765582</v>
      </c>
      <c r="AP17" s="11" t="n">
        <v>18.3867932194325</v>
      </c>
      <c r="AQ17" s="11" t="n">
        <v>17.415548219961</v>
      </c>
      <c r="AR17" s="11" t="n">
        <v>16.5614517798263</v>
      </c>
      <c r="AS17" s="11" t="n">
        <v>15.7571239965547</v>
      </c>
      <c r="AT17" s="11" t="n">
        <v>15.0464164744527</v>
      </c>
      <c r="AU17" s="11" t="n">
        <v>14.4193129434863</v>
      </c>
      <c r="AV17" s="11" t="n">
        <v>13.8675624991065</v>
      </c>
      <c r="AW17" s="11" t="n">
        <v>13.3857901447412</v>
      </c>
      <c r="AX17" s="11" t="n">
        <v>12.9662325038224</v>
      </c>
      <c r="AY17" s="11" t="n">
        <v>12.6009454314573</v>
      </c>
      <c r="AZ17" s="11" t="n">
        <v>12.2821464538741</v>
      </c>
      <c r="BA17" s="11" t="n">
        <v>12.0057348341887</v>
      </c>
      <c r="BB17" s="11" t="n">
        <v>11.7679529393042</v>
      </c>
      <c r="BC17" s="11" t="n">
        <v>11.5657370193379</v>
      </c>
      <c r="BD17" s="11" t="n">
        <v>11.4522865372673</v>
      </c>
      <c r="BE17" s="11" t="n">
        <v>11.3683591498676</v>
      </c>
      <c r="BF17" s="11" t="n">
        <v>11.3114992126857</v>
      </c>
      <c r="BG17" s="11" t="n">
        <v>11.2794735223215</v>
      </c>
      <c r="BH17" s="11" t="n">
        <v>11.2710118206388</v>
      </c>
      <c r="BI17" s="11" t="n">
        <v>11.2828084467178</v>
      </c>
      <c r="BJ17" s="11" t="n">
        <v>11.3130074581611</v>
      </c>
      <c r="BK17" s="11" t="n">
        <v>11.3600862871595</v>
      </c>
      <c r="BL17" s="11" t="n">
        <v>11.4228448054899</v>
      </c>
      <c r="BM17" s="11" t="n">
        <v>11.5001757254339</v>
      </c>
      <c r="BN17" s="11" t="n">
        <v>93.4952952721876</v>
      </c>
      <c r="BO17" s="11" t="n">
        <v>79.1998534142811</v>
      </c>
      <c r="BP17" s="11" t="n">
        <v>65.1026770330016</v>
      </c>
      <c r="BQ17" s="11" t="n">
        <v>58.1600704799657</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42.0963608738339</v>
      </c>
      <c r="AO18" s="11" t="n">
        <v>40.7001692064654</v>
      </c>
      <c r="AP18" s="11" t="n">
        <v>40.0574081718138</v>
      </c>
      <c r="AQ18" s="11" t="n">
        <v>39.2764931113279</v>
      </c>
      <c r="AR18" s="11" t="n">
        <v>39.6248693163844</v>
      </c>
      <c r="AS18" s="11" t="n">
        <v>38.7600415806011</v>
      </c>
      <c r="AT18" s="11" t="n">
        <v>38.7953707755605</v>
      </c>
      <c r="AU18" s="11" t="n">
        <v>38.5523156680526</v>
      </c>
      <c r="AV18" s="11" t="n">
        <v>37.9711962200152</v>
      </c>
      <c r="AW18" s="11" t="n">
        <v>37.5562718301192</v>
      </c>
      <c r="AX18" s="11" t="n">
        <v>37.436584124066</v>
      </c>
      <c r="AY18" s="11" t="n">
        <v>36.9231267579129</v>
      </c>
      <c r="AZ18" s="11" t="n">
        <v>36.2463379327162</v>
      </c>
      <c r="BA18" s="11" t="n">
        <v>36.1407247394467</v>
      </c>
      <c r="BB18" s="11" t="n">
        <v>36.229228634921</v>
      </c>
      <c r="BC18" s="11" t="n">
        <v>36.0112793875832</v>
      </c>
      <c r="BD18" s="11" t="n">
        <v>36.4900544627694</v>
      </c>
      <c r="BE18" s="11" t="n">
        <v>37.0212115451932</v>
      </c>
      <c r="BF18" s="11" t="n">
        <v>36.955843038298</v>
      </c>
      <c r="BG18" s="11" t="n">
        <v>36.6643978340516</v>
      </c>
      <c r="BH18" s="11" t="n">
        <v>36.2158620146579</v>
      </c>
      <c r="BI18" s="11" t="n">
        <v>35.7402849715776</v>
      </c>
      <c r="BJ18" s="11" t="n">
        <v>35.0465314376135</v>
      </c>
      <c r="BK18" s="11" t="n">
        <v>35.2472160837481</v>
      </c>
      <c r="BL18" s="11" t="n">
        <v>34.1458405163911</v>
      </c>
      <c r="BM18" s="11" t="n">
        <v>33.6039894789508</v>
      </c>
      <c r="BN18" s="11" t="n">
        <v>204.659870255496</v>
      </c>
      <c r="BO18" s="11" t="n">
        <v>195.009090451927</v>
      </c>
      <c r="BP18" s="11" t="n">
        <v>186.13351686483</v>
      </c>
      <c r="BQ18" s="11" t="n">
        <v>181.892498769914</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333.205979156191</v>
      </c>
      <c r="AN19" s="11" t="n">
        <v>322.424232889915</v>
      </c>
      <c r="AO19" s="11" t="n">
        <v>309.615858787603</v>
      </c>
      <c r="AP19" s="11" t="n">
        <v>300.639418856803</v>
      </c>
      <c r="AQ19" s="11" t="n">
        <v>293.907913855502</v>
      </c>
      <c r="AR19" s="11" t="n">
        <v>290.65014198498</v>
      </c>
      <c r="AS19" s="11" t="n">
        <v>283.397443787521</v>
      </c>
      <c r="AT19" s="11" t="n">
        <v>276.968185014554</v>
      </c>
      <c r="AU19" s="11" t="n">
        <v>271.925104473232</v>
      </c>
      <c r="AV19" s="11" t="n">
        <v>267.765118090661</v>
      </c>
      <c r="AW19" s="11" t="n">
        <v>264.656024852801</v>
      </c>
      <c r="AX19" s="11" t="n">
        <v>262.688395975874</v>
      </c>
      <c r="AY19" s="11" t="n">
        <v>257.500402751981</v>
      </c>
      <c r="AZ19" s="11" t="n">
        <v>254.880977836722</v>
      </c>
      <c r="BA19" s="11" t="n">
        <v>253.38842667032</v>
      </c>
      <c r="BB19" s="11" t="n">
        <v>251.709094609861</v>
      </c>
      <c r="BC19" s="11" t="n">
        <v>250.742131583328</v>
      </c>
      <c r="BD19" s="11" t="n">
        <v>251.071713016519</v>
      </c>
      <c r="BE19" s="11" t="n">
        <v>251.485492741144</v>
      </c>
      <c r="BF19" s="11" t="n">
        <v>251.929089511275</v>
      </c>
      <c r="BG19" s="11" t="n">
        <v>252.655291260827</v>
      </c>
      <c r="BH19" s="11" t="n">
        <v>252.636020519262</v>
      </c>
      <c r="BI19" s="11" t="n">
        <v>253.360815015596</v>
      </c>
      <c r="BJ19" s="11" t="n">
        <v>253.797067822696</v>
      </c>
      <c r="BK19" s="11" t="n">
        <v>253.512157671817</v>
      </c>
      <c r="BL19" s="11" t="n">
        <v>250.334834133261</v>
      </c>
      <c r="BM19" s="11" t="n">
        <v>249.703166381121</v>
      </c>
      <c r="BN19" s="11" t="n">
        <v>1607.81963821977</v>
      </c>
      <c r="BO19" s="11" t="n">
        <v>1416.84878911579</v>
      </c>
      <c r="BP19" s="11" t="n">
        <v>1307.49091950804</v>
      </c>
      <c r="BQ19" s="11" t="n">
        <v>1258.39685862117</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141.138614388231</v>
      </c>
      <c r="L20" s="11" t="n">
        <v>138.524436182827</v>
      </c>
      <c r="M20" s="11" t="n">
        <v>135.462212228555</v>
      </c>
      <c r="N20" s="11" t="n">
        <v>129.859065263225</v>
      </c>
      <c r="O20" s="11" t="n">
        <v>123.920486839629</v>
      </c>
      <c r="P20" s="11" t="n">
        <v>118.64001130189</v>
      </c>
      <c r="Q20" s="11" t="n">
        <v>116.77678020067</v>
      </c>
      <c r="R20" s="11" t="n">
        <v>111.853160224235</v>
      </c>
      <c r="S20" s="11" t="n">
        <v>107.03393682204</v>
      </c>
      <c r="T20" s="11" t="n">
        <v>102.664117491926</v>
      </c>
      <c r="U20" s="11" t="n">
        <v>99.2297893209561</v>
      </c>
      <c r="V20" s="11" t="n">
        <v>94.775315317842</v>
      </c>
      <c r="W20" s="11" t="n">
        <v>88.4981359307023</v>
      </c>
      <c r="X20" s="11" t="n">
        <v>83.9244036183387</v>
      </c>
      <c r="Y20" s="11" t="n">
        <v>78.667322755185</v>
      </c>
      <c r="Z20" s="11" t="n">
        <v>75.6712751364844</v>
      </c>
      <c r="AA20" s="11" t="n">
        <v>73.8280122064821</v>
      </c>
      <c r="AB20" s="11" t="n">
        <v>68.980177011707</v>
      </c>
      <c r="AC20" s="11" t="n">
        <v>66.6821086932931</v>
      </c>
      <c r="AD20" s="11" t="n">
        <v>65.4783580021182</v>
      </c>
      <c r="AE20" s="11" t="n">
        <v>63.0801894570004</v>
      </c>
      <c r="AF20" s="11" t="n">
        <v>63.35861040571</v>
      </c>
      <c r="AG20" s="11" t="n">
        <v>62.7602337118584</v>
      </c>
      <c r="AH20" s="11" t="n">
        <v>62.4134940187284</v>
      </c>
      <c r="AI20" s="11" t="n">
        <v>59.9984424095153</v>
      </c>
      <c r="AJ20" s="11" t="n">
        <v>58.7276734594613</v>
      </c>
      <c r="AK20" s="11" t="n">
        <v>58.0898467243932</v>
      </c>
      <c r="AL20" s="11" t="n">
        <v>57.0200585910277</v>
      </c>
      <c r="AM20" s="11" t="n">
        <v>55.5172665586158</v>
      </c>
      <c r="AN20" s="11" t="n">
        <v>54.6807038412925</v>
      </c>
      <c r="AO20" s="11" t="n">
        <v>53.9922319506441</v>
      </c>
      <c r="AP20" s="11" t="n">
        <v>54.1141655430946</v>
      </c>
      <c r="AQ20" s="11" t="n">
        <v>52.9095517721617</v>
      </c>
      <c r="AR20" s="11" t="n">
        <v>51.9135087427753</v>
      </c>
      <c r="AS20" s="11" t="n">
        <v>50.9123267193223</v>
      </c>
      <c r="AT20" s="11" t="n">
        <v>49.9679823641851</v>
      </c>
      <c r="AU20" s="11" t="n">
        <v>49.027260778745</v>
      </c>
      <c r="AV20" s="11" t="n">
        <v>48.1754866092735</v>
      </c>
      <c r="AW20" s="11" t="n">
        <v>47.4402676142343</v>
      </c>
      <c r="AX20" s="11" t="n">
        <v>46.716681111037</v>
      </c>
      <c r="AY20" s="11" t="n">
        <v>45.9966592803723</v>
      </c>
      <c r="AZ20" s="11" t="n">
        <v>45.3096602330388</v>
      </c>
      <c r="BA20" s="11" t="n">
        <v>44.7254593544747</v>
      </c>
      <c r="BB20" s="11" t="n">
        <v>44.1595379575368</v>
      </c>
      <c r="BC20" s="11" t="n">
        <v>43.637070466863</v>
      </c>
      <c r="BD20" s="11" t="n">
        <v>43.1219928070565</v>
      </c>
      <c r="BE20" s="11" t="n">
        <v>42.6469876498061</v>
      </c>
      <c r="BF20" s="11" t="n">
        <v>42.2374491378489</v>
      </c>
      <c r="BG20" s="11" t="n">
        <v>41.8450495709187</v>
      </c>
      <c r="BH20" s="11" t="n">
        <v>41.4750499127313</v>
      </c>
      <c r="BI20" s="11" t="n">
        <v>41.12192174665</v>
      </c>
      <c r="BJ20" s="11" t="n">
        <v>40.77979772278</v>
      </c>
      <c r="BK20" s="11" t="n">
        <v>40.4576360435873</v>
      </c>
      <c r="BL20" s="11" t="n">
        <v>40.1598353776797</v>
      </c>
      <c r="BM20" s="11" t="n">
        <v>39.8841724013424</v>
      </c>
      <c r="BN20" s="11" t="n">
        <v>275.324426484675</v>
      </c>
      <c r="BO20" s="11" t="n">
        <v>254.730630377189</v>
      </c>
      <c r="BP20" s="11" t="n">
        <v>233.638754847956</v>
      </c>
      <c r="BQ20" s="11" t="n">
        <v>218.291048235737</v>
      </c>
    </row>
    <row r="21" customFormat="false" ht="13.8" hidden="false" customHeight="false" outlineLevel="0" collapsed="false">
      <c r="A21" s="11" t="s">
        <v>156</v>
      </c>
      <c r="B21" s="11" t="s">
        <v>140</v>
      </c>
      <c r="C21" s="11" t="s">
        <v>139</v>
      </c>
      <c r="D21" s="12"/>
      <c r="E21" s="11" t="n">
        <v>44.3002234775336</v>
      </c>
      <c r="F21" s="11" t="n">
        <v>44.4052277252299</v>
      </c>
      <c r="G21" s="11" t="n">
        <v>39.9378274497614</v>
      </c>
      <c r="H21" s="11" t="n">
        <v>36.1377812173721</v>
      </c>
      <c r="I21" s="11" t="n">
        <v>36.733575590136</v>
      </c>
      <c r="J21" s="11" t="n">
        <v>35.5262647513158</v>
      </c>
      <c r="K21" s="11" t="n">
        <v>35.5202840220701</v>
      </c>
      <c r="L21" s="11" t="n">
        <v>35.7888793937191</v>
      </c>
      <c r="M21" s="11" t="n">
        <v>35.8446693081235</v>
      </c>
      <c r="N21" s="11" t="n">
        <v>27.2931949805531</v>
      </c>
      <c r="O21" s="11" t="n">
        <v>26.7745080049933</v>
      </c>
      <c r="P21" s="11" t="n">
        <v>25.5332295216333</v>
      </c>
      <c r="Q21" s="11" t="n">
        <v>24.0080781455952</v>
      </c>
      <c r="R21" s="11" t="n">
        <v>23.6493473576149</v>
      </c>
      <c r="S21" s="11" t="n">
        <v>24.1732056787632</v>
      </c>
      <c r="T21" s="11" t="n">
        <v>23.2738708129377</v>
      </c>
      <c r="U21" s="11" t="n">
        <v>22.3723859735233</v>
      </c>
      <c r="V21" s="11" t="n">
        <v>22.3871776205364</v>
      </c>
      <c r="W21" s="11" t="n">
        <v>21.8687745509561</v>
      </c>
      <c r="X21" s="11" t="n">
        <v>20.4093851389545</v>
      </c>
      <c r="Y21" s="11" t="n">
        <v>20.850592457761</v>
      </c>
      <c r="Z21" s="11" t="n">
        <v>20.1180492670757</v>
      </c>
      <c r="AA21" s="11" t="n">
        <v>20.0301007556531</v>
      </c>
      <c r="AB21" s="11" t="n">
        <v>20.07578522778</v>
      </c>
      <c r="AC21" s="11" t="n">
        <v>20.5757861988295</v>
      </c>
      <c r="AD21" s="11" t="n">
        <v>20.4522889297316</v>
      </c>
      <c r="AE21" s="11" t="n">
        <v>20.0055547697637</v>
      </c>
      <c r="AF21" s="11" t="n">
        <v>20.2878791430463</v>
      </c>
      <c r="AG21" s="11" t="n">
        <v>20.1618254992518</v>
      </c>
      <c r="AH21" s="11" t="n">
        <v>20.2029843423827</v>
      </c>
      <c r="AI21" s="11" t="n">
        <v>18.9789878158805</v>
      </c>
      <c r="AJ21" s="11" t="n">
        <v>19.343581552368</v>
      </c>
      <c r="AK21" s="11" t="n">
        <v>18.5808205022007</v>
      </c>
      <c r="AL21" s="11" t="n">
        <v>18.4485657982639</v>
      </c>
      <c r="AM21" s="11" t="n">
        <v>18.7554415585809</v>
      </c>
      <c r="AN21" s="11" t="n">
        <v>18.7275190459801</v>
      </c>
      <c r="AO21" s="11" t="n">
        <v>18.6910803734112</v>
      </c>
      <c r="AP21" s="11" t="n">
        <v>18.6377957377022</v>
      </c>
      <c r="AQ21" s="11" t="n">
        <v>18.519099569161</v>
      </c>
      <c r="AR21" s="11" t="n">
        <v>18.4966575229513</v>
      </c>
      <c r="AS21" s="11" t="n">
        <v>18.4424054359047</v>
      </c>
      <c r="AT21" s="11" t="n">
        <v>18.3619970595213</v>
      </c>
      <c r="AU21" s="11" t="n">
        <v>18.215184261837</v>
      </c>
      <c r="AV21" s="11" t="n">
        <v>18.123179672541</v>
      </c>
      <c r="AW21" s="11" t="n">
        <v>18.0471838259596</v>
      </c>
      <c r="AX21" s="11" t="n">
        <v>17.9437222686261</v>
      </c>
      <c r="AY21" s="11" t="n">
        <v>17.8377791024173</v>
      </c>
      <c r="AZ21" s="11" t="n">
        <v>17.6496816580915</v>
      </c>
      <c r="BA21" s="11" t="n">
        <v>17.5755138863547</v>
      </c>
      <c r="BB21" s="11" t="n">
        <v>17.494674369345</v>
      </c>
      <c r="BC21" s="11" t="n">
        <v>17.4197891053561</v>
      </c>
      <c r="BD21" s="11" t="n">
        <v>17.3440223787584</v>
      </c>
      <c r="BE21" s="11" t="n">
        <v>17.2748919823992</v>
      </c>
      <c r="BF21" s="11" t="n">
        <v>17.2150428886109</v>
      </c>
      <c r="BG21" s="11" t="n">
        <v>17.1523964349085</v>
      </c>
      <c r="BH21" s="11" t="n">
        <v>17.0956093966608</v>
      </c>
      <c r="BI21" s="11" t="n">
        <v>17.0436807223826</v>
      </c>
      <c r="BJ21" s="11" t="n">
        <v>16.988621612181</v>
      </c>
      <c r="BK21" s="11" t="n">
        <v>16.9372735507584</v>
      </c>
      <c r="BL21" s="11" t="n">
        <v>16.8777883806887</v>
      </c>
      <c r="BM21" s="11" t="n">
        <v>16.8253121080059</v>
      </c>
      <c r="BN21" s="11" t="n">
        <v>93.2604025139383</v>
      </c>
      <c r="BO21" s="11" t="n">
        <v>92.0353438493752</v>
      </c>
      <c r="BP21" s="11" t="n">
        <v>89.6015465276355</v>
      </c>
      <c r="BQ21" s="11" t="n">
        <v>87.1088917222134</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7.05228750474408</v>
      </c>
      <c r="Q22" s="11" t="n">
        <v>7.4688138300499</v>
      </c>
      <c r="R22" s="11" t="n">
        <v>8.25870624154292</v>
      </c>
      <c r="S22" s="11" t="n">
        <v>7.36937772653388</v>
      </c>
      <c r="T22" s="11" t="n">
        <v>8.09555591302204</v>
      </c>
      <c r="U22" s="11" t="n">
        <v>8.88703175483168</v>
      </c>
      <c r="V22" s="11" t="n">
        <v>9.24213661121652</v>
      </c>
      <c r="W22" s="11" t="n">
        <v>9.58107153266835</v>
      </c>
      <c r="X22" s="11" t="n">
        <v>10.0020094196355</v>
      </c>
      <c r="Y22" s="11" t="n">
        <v>10.4979550302191</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4.09884472060176</v>
      </c>
      <c r="AU22" s="11" t="n">
        <v>3.89091088317771</v>
      </c>
      <c r="AV22" s="11" t="n">
        <v>3.70734813175857</v>
      </c>
      <c r="AW22" s="11" t="n">
        <v>3.53638632023551</v>
      </c>
      <c r="AX22" s="11" t="n">
        <v>3.38044042697567</v>
      </c>
      <c r="AY22" s="11" t="n">
        <v>3.24624656805012</v>
      </c>
      <c r="AZ22" s="11" t="n">
        <v>3.14013667374679</v>
      </c>
      <c r="BA22" s="11" t="n">
        <v>3.06190005083168</v>
      </c>
      <c r="BB22" s="11" t="n">
        <v>3.0277117596006</v>
      </c>
      <c r="BC22" s="11" t="n">
        <v>3.01583177269943</v>
      </c>
      <c r="BD22" s="11" t="n">
        <v>3.01833912244435</v>
      </c>
      <c r="BE22" s="11" t="n">
        <v>3.03328730057938</v>
      </c>
      <c r="BF22" s="11" t="n">
        <v>3.05775648539494</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1.48366130882975</v>
      </c>
      <c r="F23" s="11" t="n">
        <v>1.24305334298279</v>
      </c>
      <c r="G23" s="11" t="n">
        <v>0.617640551647897</v>
      </c>
      <c r="H23" s="11" t="n">
        <v>0.538700846476154</v>
      </c>
      <c r="I23" s="11" t="n">
        <v>0.546409279966551</v>
      </c>
      <c r="J23" s="11" t="n">
        <v>0.533270281772292</v>
      </c>
      <c r="K23" s="11" t="n">
        <v>0.531928867885412</v>
      </c>
      <c r="L23" s="11" t="n">
        <v>0.44692564402011</v>
      </c>
      <c r="M23" s="11" t="n">
        <v>0.43528910732139</v>
      </c>
      <c r="N23" s="11" t="n">
        <v>0.412312802276656</v>
      </c>
      <c r="O23" s="11" t="n">
        <v>0.51862161306472</v>
      </c>
      <c r="P23" s="11" t="n">
        <v>0.432138729457178</v>
      </c>
      <c r="Q23" s="11" t="n">
        <v>0.364067786446408</v>
      </c>
      <c r="R23" s="11" t="n">
        <v>0.318513971049458</v>
      </c>
      <c r="S23" s="11" t="n">
        <v>0.402942811428176</v>
      </c>
      <c r="T23" s="11" t="n">
        <v>0.368307653921605</v>
      </c>
      <c r="U23" s="11" t="n">
        <v>0.369821205860997</v>
      </c>
      <c r="V23" s="11" t="n">
        <v>0.277694286963564</v>
      </c>
      <c r="W23" s="11" t="n">
        <v>0.255311612882481</v>
      </c>
      <c r="X23" s="11" t="n">
        <v>0.195240026958578</v>
      </c>
      <c r="Y23" s="11" t="n">
        <v>0.281496039558142</v>
      </c>
      <c r="Z23" s="11" t="n">
        <v>0.399303588048535</v>
      </c>
      <c r="AA23" s="11" t="n">
        <v>0.243138181819986</v>
      </c>
      <c r="AB23" s="11" t="n">
        <v>0.294217429839836</v>
      </c>
      <c r="AC23" s="11" t="n">
        <v>0.23782779605641</v>
      </c>
      <c r="AD23" s="11" t="n">
        <v>0.274427975434271</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0.145322964863699</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0.788373788456026</v>
      </c>
      <c r="BP23" s="11" t="n">
        <v>0.788373788456026</v>
      </c>
      <c r="BQ23" s="11" t="n">
        <v>0.788373788456026</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0.426418736992623</v>
      </c>
      <c r="AE24" s="11" t="n">
        <v>0.458386532676318</v>
      </c>
      <c r="AF24" s="11" t="n">
        <v>0.460093295564997</v>
      </c>
      <c r="AG24" s="11" t="n">
        <v>0.565037427403676</v>
      </c>
      <c r="AH24" s="11" t="n">
        <v>0.49719676355469</v>
      </c>
      <c r="AI24" s="11" t="n">
        <v>0.425406162786779</v>
      </c>
      <c r="AJ24" s="11" t="n">
        <v>0.38749956929647</v>
      </c>
      <c r="AK24" s="11" t="n">
        <v>0.333442729385777</v>
      </c>
      <c r="AL24" s="11" t="n">
        <v>0.301791676439176</v>
      </c>
      <c r="AM24" s="11" t="n">
        <v>0.307854862676676</v>
      </c>
      <c r="AN24" s="11" t="n">
        <v>0.314290204270113</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0.372815184884234</v>
      </c>
      <c r="AW24" s="11" t="n">
        <v>0.380977508595361</v>
      </c>
      <c r="AX24" s="11" t="n">
        <v>0.389343890399265</v>
      </c>
      <c r="AY24" s="11" t="n">
        <v>0.389343890399265</v>
      </c>
      <c r="AZ24" s="11" t="n">
        <v>0.389343890399265</v>
      </c>
      <c r="BA24" s="11" t="n">
        <v>0.389343890399265</v>
      </c>
      <c r="BB24" s="11" t="n">
        <v>0.389343890399265</v>
      </c>
      <c r="BC24" s="11" t="n">
        <v>0.389343890399265</v>
      </c>
      <c r="BD24" s="11" t="n">
        <v>0.389343890399265</v>
      </c>
      <c r="BE24" s="11" t="n">
        <v>0.389343890399265</v>
      </c>
      <c r="BF24" s="11" t="n">
        <v>0.389343890399265</v>
      </c>
      <c r="BG24" s="11" t="n">
        <v>0.389343890399265</v>
      </c>
      <c r="BH24" s="11" t="n">
        <v>0.389343890399265</v>
      </c>
      <c r="BI24" s="11" t="n">
        <v>0.389343890399265</v>
      </c>
      <c r="BJ24" s="11" t="n">
        <v>0.389343890399265</v>
      </c>
      <c r="BK24" s="11" t="n">
        <v>0.389343890399265</v>
      </c>
      <c r="BL24" s="11" t="n">
        <v>0.389343890399265</v>
      </c>
      <c r="BM24" s="11" t="n">
        <v>0.389343890399265</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32.3429075604533</v>
      </c>
      <c r="H27" s="11" t="n">
        <v>32.2867215516015</v>
      </c>
      <c r="I27" s="11" t="n">
        <v>32.4376625870691</v>
      </c>
      <c r="J27" s="11" t="n">
        <v>32.2069060308038</v>
      </c>
      <c r="K27" s="11" t="n">
        <v>32.8262420298166</v>
      </c>
      <c r="L27" s="11" t="n">
        <v>32.5783502819476</v>
      </c>
      <c r="M27" s="11" t="n">
        <v>32.6734220770182</v>
      </c>
      <c r="N27" s="11" t="n">
        <v>32.5130465142707</v>
      </c>
      <c r="O27" s="11" t="n">
        <v>31.5208846643531</v>
      </c>
      <c r="P27" s="11" t="n">
        <v>29.9473573096137</v>
      </c>
      <c r="Q27" s="11" t="n">
        <v>29.4891220094733</v>
      </c>
      <c r="R27" s="11" t="n">
        <v>29.7648113387233</v>
      </c>
      <c r="S27" s="11" t="n">
        <v>30.0129038331228</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27.8900628145383</v>
      </c>
      <c r="AK27" s="11" t="n">
        <v>27.7847764250513</v>
      </c>
      <c r="AL27" s="11" t="n">
        <v>27.2034581433579</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16.3728090246473</v>
      </c>
      <c r="F28" s="11" t="n">
        <v>16.3652204738222</v>
      </c>
      <c r="G28" s="11" t="n">
        <v>15.7880323748618</v>
      </c>
      <c r="H28" s="11" t="n">
        <v>15.3872752709717</v>
      </c>
      <c r="I28" s="11" t="n">
        <v>15.9578378738726</v>
      </c>
      <c r="J28" s="11" t="n">
        <v>16.0073151624586</v>
      </c>
      <c r="K28" s="11" t="n">
        <v>16.2385566670362</v>
      </c>
      <c r="L28" s="11" t="n">
        <v>16.4227129027924</v>
      </c>
      <c r="M28" s="11" t="n">
        <v>16.2079933627153</v>
      </c>
      <c r="N28" s="11" t="n">
        <v>16.2277371694367</v>
      </c>
      <c r="O28" s="11" t="n">
        <v>15.5059070589611</v>
      </c>
      <c r="P28" s="11" t="n">
        <v>14.9262809717382</v>
      </c>
      <c r="Q28" s="11" t="n">
        <v>14.9166492139828</v>
      </c>
      <c r="R28" s="11" t="n">
        <v>14.8411843098522</v>
      </c>
      <c r="S28" s="11" t="n">
        <v>14.6249013723468</v>
      </c>
      <c r="T28" s="11" t="n">
        <v>14.319878479678</v>
      </c>
      <c r="U28" s="11" t="n">
        <v>13.9484125589319</v>
      </c>
      <c r="V28" s="11" t="n">
        <v>13.6898865319666</v>
      </c>
      <c r="W28" s="11" t="n">
        <v>13.5903470722667</v>
      </c>
      <c r="X28" s="11" t="n">
        <v>13.5319011034865</v>
      </c>
      <c r="Y28" s="11" t="n">
        <v>13.7591024678466</v>
      </c>
      <c r="Z28" s="11" t="n">
        <v>13.7877731979964</v>
      </c>
      <c r="AA28" s="11" t="n">
        <v>13.6595715469706</v>
      </c>
      <c r="AB28" s="11" t="n">
        <v>13.7111904939868</v>
      </c>
      <c r="AC28" s="11" t="n">
        <v>14.2109240717554</v>
      </c>
      <c r="AD28" s="11" t="n">
        <v>14.1380536664966</v>
      </c>
      <c r="AE28" s="11" t="n">
        <v>13.813109346583</v>
      </c>
      <c r="AF28" s="11" t="n">
        <v>14.0170958536443</v>
      </c>
      <c r="AG28" s="11" t="n">
        <v>13.8566444133239</v>
      </c>
      <c r="AH28" s="11" t="n">
        <v>13.9485106648271</v>
      </c>
      <c r="AI28" s="11" t="n">
        <v>13.1569075442857</v>
      </c>
      <c r="AJ28" s="11" t="n">
        <v>13.478563412585</v>
      </c>
      <c r="AK28" s="11" t="n">
        <v>12.7290815643072</v>
      </c>
      <c r="AL28" s="11" t="n">
        <v>12.5191024192604</v>
      </c>
      <c r="AM28" s="11" t="n">
        <v>12.5045953938355</v>
      </c>
      <c r="AN28" s="11" t="n">
        <v>12.5098559697839</v>
      </c>
      <c r="AO28" s="11" t="n">
        <v>12.5217901091835</v>
      </c>
      <c r="AP28" s="11" t="n">
        <v>12.5376828555556</v>
      </c>
      <c r="AQ28" s="11" t="n">
        <v>12.5541577344059</v>
      </c>
      <c r="AR28" s="11" t="n">
        <v>12.5678684965442</v>
      </c>
      <c r="AS28" s="11" t="n">
        <v>12.5756416332501</v>
      </c>
      <c r="AT28" s="11" t="n">
        <v>12.5570215325553</v>
      </c>
      <c r="AU28" s="11" t="n">
        <v>12.5324913014387</v>
      </c>
      <c r="AV28" s="11" t="n">
        <v>12.5034970082266</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62.7871806981944</v>
      </c>
      <c r="BP28" s="11" t="n">
        <v>62.1470433189398</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77.6008119901844</v>
      </c>
      <c r="AO29" s="11" t="n">
        <v>75.8997275879761</v>
      </c>
      <c r="AP29" s="11" t="n">
        <v>73.8667182608799</v>
      </c>
      <c r="AQ29" s="11" t="n">
        <v>73.3182800139688</v>
      </c>
      <c r="AR29" s="11" t="n">
        <v>74.4611201595576</v>
      </c>
      <c r="AS29" s="11" t="n">
        <v>74.3605220492218</v>
      </c>
      <c r="AT29" s="11" t="n">
        <v>74.385432100214</v>
      </c>
      <c r="AU29" s="11" t="n">
        <v>74.3811303839685</v>
      </c>
      <c r="AV29" s="11" t="n">
        <v>74.4351340423941</v>
      </c>
      <c r="AW29" s="11" t="n">
        <v>74.512400829649</v>
      </c>
      <c r="AX29" s="11" t="n">
        <v>74.6526254991955</v>
      </c>
      <c r="AY29" s="11" t="n">
        <v>75.0871023200741</v>
      </c>
      <c r="AZ29" s="11" t="n">
        <v>75.2812920837235</v>
      </c>
      <c r="BA29" s="11" t="n">
        <v>75.5245740548591</v>
      </c>
      <c r="BB29" s="11" t="n">
        <v>75.7763875353078</v>
      </c>
      <c r="BC29" s="11" t="n">
        <v>76.0674565228641</v>
      </c>
      <c r="BD29" s="11" t="n">
        <v>76.4433830536214</v>
      </c>
      <c r="BE29" s="11" t="n">
        <v>76.6379353300482</v>
      </c>
      <c r="BF29" s="11" t="n">
        <v>76.763489445426</v>
      </c>
      <c r="BG29" s="11" t="n">
        <v>77.0908402805319</v>
      </c>
      <c r="BH29" s="11" t="n">
        <v>77.0879102620537</v>
      </c>
      <c r="BI29" s="11" t="n">
        <v>77.1834348967685</v>
      </c>
      <c r="BJ29" s="11" t="n">
        <v>77.4200850405572</v>
      </c>
      <c r="BK29" s="11" t="n">
        <v>77.4694204884911</v>
      </c>
      <c r="BL29" s="11" t="n">
        <v>77.4306085027842</v>
      </c>
      <c r="BM29" s="11" t="n">
        <v>77.3861955640324</v>
      </c>
      <c r="BN29" s="11" t="n">
        <v>374.926424052043</v>
      </c>
      <c r="BO29" s="11" t="n">
        <v>370.906484706931</v>
      </c>
      <c r="BP29" s="11" t="n">
        <v>373.968554775036</v>
      </c>
      <c r="BQ29" s="11" t="n">
        <v>380.449736496701</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1.09531900072004</v>
      </c>
      <c r="R30" s="11" t="n">
        <v>1.01289196739384</v>
      </c>
      <c r="S30" s="11" t="n">
        <v>0.982359313650173</v>
      </c>
      <c r="T30" s="11" t="n">
        <v>0.897591964388521</v>
      </c>
      <c r="U30" s="11" t="n">
        <v>0.885797108559107</v>
      </c>
      <c r="V30" s="11" t="n">
        <v>0.853573181482257</v>
      </c>
      <c r="W30" s="11" t="n">
        <v>0.856922320465814</v>
      </c>
      <c r="X30" s="11" t="n">
        <v>0.844171007110998</v>
      </c>
      <c r="Y30" s="11" t="n">
        <v>0.92583766013819</v>
      </c>
      <c r="Z30" s="11" t="n">
        <v>0.844657408227866</v>
      </c>
      <c r="AA30" s="11" t="n">
        <v>0.882667864449412</v>
      </c>
      <c r="AB30" s="11" t="n">
        <v>0.920044016490673</v>
      </c>
      <c r="AC30" s="11" t="n">
        <v>0.846274659293319</v>
      </c>
      <c r="AD30" s="11" t="n">
        <v>0.864442474526235</v>
      </c>
      <c r="AE30" s="11" t="n">
        <v>0.893480966819406</v>
      </c>
      <c r="AF30" s="11" t="n">
        <v>0.940209296392752</v>
      </c>
      <c r="AG30" s="11" t="n">
        <v>0.981255685027574</v>
      </c>
      <c r="AH30" s="11" t="n">
        <v>0.962549001103792</v>
      </c>
      <c r="AI30" s="11" t="n">
        <v>0.983714236014689</v>
      </c>
      <c r="AJ30" s="11" t="n">
        <v>1.04517930620611</v>
      </c>
      <c r="AK30" s="11" t="n">
        <v>0.991773864116739</v>
      </c>
      <c r="AL30" s="11" t="n">
        <v>0.941681052261805</v>
      </c>
      <c r="AM30" s="11" t="n">
        <v>0.982884053202977</v>
      </c>
      <c r="AN30" s="11" t="n">
        <v>0.989350409652184</v>
      </c>
      <c r="AO30" s="11" t="n">
        <v>0.987526100925684</v>
      </c>
      <c r="AP30" s="11" t="n">
        <v>0.989803761813169</v>
      </c>
      <c r="AQ30" s="11" t="n">
        <v>0.989239561301302</v>
      </c>
      <c r="AR30" s="11" t="n">
        <v>0.985939615198233</v>
      </c>
      <c r="AS30" s="11" t="n">
        <v>0.973173385763729</v>
      </c>
      <c r="AT30" s="11" t="n">
        <v>0.966278688725763</v>
      </c>
      <c r="AU30" s="11" t="n">
        <v>0.963443416539736</v>
      </c>
      <c r="AV30" s="11" t="n">
        <v>0.956407374662653</v>
      </c>
      <c r="AW30" s="11" t="n">
        <v>0.948054675858106</v>
      </c>
      <c r="AX30" s="11" t="n">
        <v>0.928133469623242</v>
      </c>
      <c r="AY30" s="11" t="n">
        <v>0.905413931529537</v>
      </c>
      <c r="AZ30" s="11" t="n">
        <v>0.874287818248349</v>
      </c>
      <c r="BA30" s="11" t="n">
        <v>0.860760906536188</v>
      </c>
      <c r="BB30" s="11" t="n">
        <v>0.84747430883117</v>
      </c>
      <c r="BC30" s="11" t="n">
        <v>0.83537777846223</v>
      </c>
      <c r="BD30" s="11" t="n">
        <v>0.823299610384963</v>
      </c>
      <c r="BE30" s="11" t="n">
        <v>0.806678411133968</v>
      </c>
      <c r="BF30" s="11" t="n">
        <v>0.798099048133244</v>
      </c>
      <c r="BG30" s="11" t="n">
        <v>0.788642785228372</v>
      </c>
      <c r="BH30" s="11" t="n">
        <v>0.772175751465293</v>
      </c>
      <c r="BI30" s="11" t="n">
        <v>0.754414094102795</v>
      </c>
      <c r="BJ30" s="11" t="n">
        <v>0.738783716808599</v>
      </c>
      <c r="BK30" s="11" t="n">
        <v>0.728616850313914</v>
      </c>
      <c r="BL30" s="11" t="n">
        <v>0.728288439236048</v>
      </c>
      <c r="BM30" s="11" t="n">
        <v>0.728156728653537</v>
      </c>
      <c r="BN30" s="11" t="n">
        <v>4.89124537785582</v>
      </c>
      <c r="BO30" s="11" t="n">
        <v>4.87807466752876</v>
      </c>
      <c r="BP30" s="11" t="n">
        <v>4.61229726992189</v>
      </c>
      <c r="BQ30" s="11" t="n">
        <v>4.17359101534852</v>
      </c>
    </row>
    <row r="31" customFormat="false" ht="13.8" hidden="false" customHeight="false" outlineLevel="0" collapsed="false">
      <c r="A31" s="11" t="s">
        <v>156</v>
      </c>
      <c r="B31" s="11" t="s">
        <v>145</v>
      </c>
      <c r="C31" s="11" t="s">
        <v>139</v>
      </c>
      <c r="D31" s="12"/>
      <c r="E31" s="11" t="n">
        <v>0.803846646059867</v>
      </c>
      <c r="F31" s="11" t="n">
        <v>0.82826751111269</v>
      </c>
      <c r="G31" s="11" t="n">
        <v>0.800673717239957</v>
      </c>
      <c r="H31" s="11" t="n">
        <v>0.81932303991727</v>
      </c>
      <c r="I31" s="11" t="n">
        <v>0.782881171566505</v>
      </c>
      <c r="J31" s="11" t="n">
        <v>0.733462075757155</v>
      </c>
      <c r="K31" s="11" t="n">
        <v>0.747304308394233</v>
      </c>
      <c r="L31" s="11" t="n">
        <v>0.727557422178596</v>
      </c>
      <c r="M31" s="11" t="n">
        <v>0.720071388943577</v>
      </c>
      <c r="N31" s="11" t="n">
        <v>0.723323631281291</v>
      </c>
      <c r="O31" s="11" t="n">
        <v>0.701128967996624</v>
      </c>
      <c r="P31" s="11" t="n">
        <v>0.702079099264855</v>
      </c>
      <c r="Q31" s="11" t="n">
        <v>0.676881243874794</v>
      </c>
      <c r="R31" s="11" t="n">
        <v>0.665624646656046</v>
      </c>
      <c r="S31" s="11" t="n">
        <v>0.667992520226125</v>
      </c>
      <c r="T31" s="11" t="n">
        <v>0.663368901986628</v>
      </c>
      <c r="U31" s="11" t="n">
        <v>0.666538925470497</v>
      </c>
      <c r="V31" s="11" t="n">
        <v>0.666283633552895</v>
      </c>
      <c r="W31" s="11" t="n">
        <v>0.674512136836212</v>
      </c>
      <c r="X31" s="11" t="n">
        <v>0.677989974403374</v>
      </c>
      <c r="Y31" s="11" t="n">
        <v>0.694687837107868</v>
      </c>
      <c r="Z31" s="11" t="n">
        <v>0.682594805284617</v>
      </c>
      <c r="AA31" s="11" t="n">
        <v>0.69304367834433</v>
      </c>
      <c r="AB31" s="11" t="n">
        <v>0.701293262661856</v>
      </c>
      <c r="AC31" s="11" t="n">
        <v>0.693481536121006</v>
      </c>
      <c r="AD31" s="11" t="n">
        <v>0.697701399181227</v>
      </c>
      <c r="AE31" s="11" t="n">
        <v>0.70690583633571</v>
      </c>
      <c r="AF31" s="11" t="n">
        <v>0.713481592450162</v>
      </c>
      <c r="AG31" s="11" t="n">
        <v>0.7253592451567</v>
      </c>
      <c r="AH31" s="11" t="n">
        <v>0.725080797967358</v>
      </c>
      <c r="AI31" s="11" t="n">
        <v>0.729496304148847</v>
      </c>
      <c r="AJ31" s="11" t="n">
        <v>0.73947432248103</v>
      </c>
      <c r="AK31" s="11" t="n">
        <v>0.732979969265163</v>
      </c>
      <c r="AL31" s="11" t="n">
        <v>0.729579335172371</v>
      </c>
      <c r="AM31" s="11" t="n">
        <v>0.743249110875358</v>
      </c>
      <c r="AN31" s="11" t="n">
        <v>0.749605632172898</v>
      </c>
      <c r="AO31" s="11" t="n">
        <v>0.753579659957211</v>
      </c>
      <c r="AP31" s="11" t="n">
        <v>0.75735976205376</v>
      </c>
      <c r="AQ31" s="11" t="n">
        <v>0.760142849554372</v>
      </c>
      <c r="AR31" s="11" t="n">
        <v>0.76268235616101</v>
      </c>
      <c r="AS31" s="11" t="n">
        <v>0.763660970162608</v>
      </c>
      <c r="AT31" s="11" t="n">
        <v>0.765372769117075</v>
      </c>
      <c r="AU31" s="11" t="n">
        <v>0.767554710275103</v>
      </c>
      <c r="AV31" s="11" t="n">
        <v>0.769189251029399</v>
      </c>
      <c r="AW31" s="11" t="n">
        <v>0.770600055142749</v>
      </c>
      <c r="AX31" s="11" t="n">
        <v>0.770366577065932</v>
      </c>
      <c r="AY31" s="11" t="n">
        <v>0.769685203607562</v>
      </c>
      <c r="AZ31" s="11" t="n">
        <v>0.767793561996484</v>
      </c>
      <c r="BA31" s="11" t="n">
        <v>0.768277920636022</v>
      </c>
      <c r="BB31" s="11" t="n">
        <v>0.768751714974714</v>
      </c>
      <c r="BC31" s="11" t="n">
        <v>0.769383986557439</v>
      </c>
      <c r="BD31" s="11" t="n">
        <v>0.769984004988788</v>
      </c>
      <c r="BE31" s="11" t="n">
        <v>0.769910019445313</v>
      </c>
      <c r="BF31" s="11" t="n">
        <v>0.770926034806384</v>
      </c>
      <c r="BG31" s="11" t="n">
        <v>0.771759695935474</v>
      </c>
      <c r="BH31" s="11" t="n">
        <v>0.771508337961671</v>
      </c>
      <c r="BI31" s="11" t="n">
        <v>0.770947539858678</v>
      </c>
      <c r="BJ31" s="11" t="n">
        <v>0.77060728059505</v>
      </c>
      <c r="BK31" s="11" t="n">
        <v>0.770960825884078</v>
      </c>
      <c r="BL31" s="11" t="n">
        <v>0.772615399722782</v>
      </c>
      <c r="BM31" s="11" t="n">
        <v>0.774222780973669</v>
      </c>
      <c r="BN31" s="11" t="n">
        <v>3.7333735002316</v>
      </c>
      <c r="BO31" s="11" t="n">
        <v>3.81941365527017</v>
      </c>
      <c r="BP31" s="11" t="n">
        <v>3.84763464884213</v>
      </c>
      <c r="BQ31" s="11" t="n">
        <v>3.84630764660228</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113.211007031784</v>
      </c>
      <c r="AO32" s="11" t="n">
        <v>109.373203207471</v>
      </c>
      <c r="AP32" s="11" t="n">
        <v>105.790096818198</v>
      </c>
      <c r="AQ32" s="11" t="n">
        <v>101.516997090405</v>
      </c>
      <c r="AR32" s="11" t="n">
        <v>96.5039043135588</v>
      </c>
      <c r="AS32" s="11" t="n">
        <v>90.5577645418472</v>
      </c>
      <c r="AT32" s="11" t="n">
        <v>85.1255999923648</v>
      </c>
      <c r="AU32" s="11" t="n">
        <v>80.112662173804</v>
      </c>
      <c r="AV32" s="11" t="n">
        <v>75.7949640071322</v>
      </c>
      <c r="AW32" s="11" t="n">
        <v>71.9486474020656</v>
      </c>
      <c r="AX32" s="11" t="n">
        <v>68.5948719568953</v>
      </c>
      <c r="AY32" s="11" t="n">
        <v>65.561586337908</v>
      </c>
      <c r="AZ32" s="11" t="n">
        <v>62.8397097778047</v>
      </c>
      <c r="BA32" s="11" t="n">
        <v>60.4372150346302</v>
      </c>
      <c r="BB32" s="11" t="n">
        <v>58.3717867366934</v>
      </c>
      <c r="BC32" s="11" t="n">
        <v>56.4864494995831</v>
      </c>
      <c r="BD32" s="11" t="n">
        <v>54.8873619091952</v>
      </c>
      <c r="BE32" s="11" t="n">
        <v>53.4786588534985</v>
      </c>
      <c r="BF32" s="11" t="n">
        <v>52.3653235678193</v>
      </c>
      <c r="BG32" s="11" t="n">
        <v>51.3890938217745</v>
      </c>
      <c r="BH32" s="11" t="n">
        <v>50.5613874464305</v>
      </c>
      <c r="BI32" s="11" t="n">
        <v>49.9225557967908</v>
      </c>
      <c r="BJ32" s="11" t="n">
        <v>49.3707212396877</v>
      </c>
      <c r="BK32" s="11" t="n">
        <v>49.048513299293</v>
      </c>
      <c r="BL32" s="11" t="n">
        <v>48.7309538748823</v>
      </c>
      <c r="BM32" s="11" t="n">
        <v>48.4868894318809</v>
      </c>
      <c r="BN32" s="11" t="n">
        <v>547.606828567397</v>
      </c>
      <c r="BO32" s="11" t="n">
        <v>453.81692811198</v>
      </c>
      <c r="BP32" s="11" t="n">
        <v>344.739779481806</v>
      </c>
      <c r="BQ32" s="11" t="n">
        <v>283.6614720336</v>
      </c>
    </row>
    <row r="33" customFormat="false" ht="13.8" hidden="false" customHeight="false" outlineLevel="0" collapsed="false">
      <c r="A33" s="11" t="s">
        <v>155</v>
      </c>
      <c r="B33" s="11" t="s">
        <v>146</v>
      </c>
      <c r="C33" s="11" t="s">
        <v>139</v>
      </c>
      <c r="D33" s="12"/>
      <c r="E33" s="11" t="n">
        <v>1.27297720515135</v>
      </c>
      <c r="F33" s="11" t="n">
        <v>1.25061064970842</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0.553564609166542</v>
      </c>
      <c r="R33" s="11" t="n">
        <v>0.490426598642273</v>
      </c>
      <c r="S33" s="11" t="n">
        <v>0.442652781387932</v>
      </c>
      <c r="T33" s="11" t="n">
        <v>0.405383013533054</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0.0747884074140275</v>
      </c>
      <c r="AJ33" s="11" t="n">
        <v>0.0810221488085114</v>
      </c>
      <c r="AK33" s="11" t="n">
        <v>0.0850575444875325</v>
      </c>
      <c r="AL33" s="11" t="n">
        <v>0.0856761920612092</v>
      </c>
      <c r="AM33" s="11" t="n">
        <v>0.0916319440299271</v>
      </c>
      <c r="AN33" s="11" t="n">
        <v>0.0909192150202987</v>
      </c>
      <c r="AO33" s="11" t="n">
        <v>0.0887777233571251</v>
      </c>
      <c r="AP33" s="11" t="n">
        <v>0.0874120357020035</v>
      </c>
      <c r="AQ33" s="11" t="n">
        <v>0.0851178626218245</v>
      </c>
      <c r="AR33" s="11" t="n">
        <v>0.0818450468896603</v>
      </c>
      <c r="AS33" s="11" t="n">
        <v>0.0774925993132757</v>
      </c>
      <c r="AT33" s="11" t="n">
        <v>0.0735799624999571</v>
      </c>
      <c r="AU33" s="11" t="n">
        <v>0.0698342649711101</v>
      </c>
      <c r="AV33" s="11" t="n">
        <v>0.0662720865373829</v>
      </c>
      <c r="AW33" s="11" t="n">
        <v>0.0630053613429561</v>
      </c>
      <c r="AX33" s="11" t="n">
        <v>0.0600109612352818</v>
      </c>
      <c r="AY33" s="11" t="n">
        <v>0.0572413398449078</v>
      </c>
      <c r="AZ33" s="11" t="n">
        <v>0.054742496822281</v>
      </c>
      <c r="BA33" s="11" t="n">
        <v>0.0525015839490094</v>
      </c>
      <c r="BB33" s="11" t="n">
        <v>0.0504379213477421</v>
      </c>
      <c r="BC33" s="11" t="n">
        <v>0.0486216311713486</v>
      </c>
      <c r="BD33" s="11" t="n">
        <v>0.0469389308968407</v>
      </c>
      <c r="BE33" s="11" t="n">
        <v>0.0455873978533163</v>
      </c>
      <c r="BF33" s="11" t="n">
        <v>0.0444053899991681</v>
      </c>
      <c r="BG33" s="11" t="n">
        <v>0.0434433700856845</v>
      </c>
      <c r="BH33" s="11" t="n">
        <v>0.0427197481576408</v>
      </c>
      <c r="BI33" s="11" t="n">
        <v>0.0421858413354341</v>
      </c>
      <c r="BJ33" s="11" t="n">
        <v>0.0417213807184767</v>
      </c>
      <c r="BK33" s="11" t="n">
        <v>0.0413859445560025</v>
      </c>
      <c r="BL33" s="11" t="n">
        <v>0.0411575895799316</v>
      </c>
      <c r="BM33" s="11" t="n">
        <v>0.0409993053376138</v>
      </c>
      <c r="BN33" s="11" t="n">
        <v>0.444417110170564</v>
      </c>
      <c r="BO33" s="11" t="n">
        <v>0.387869736295828</v>
      </c>
      <c r="BP33" s="11" t="n">
        <v>0.30127224578281</v>
      </c>
      <c r="BQ33" s="11" t="n">
        <v>0.244087465218257</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0.890620745807166</v>
      </c>
      <c r="X34" s="11" t="n">
        <v>0.844914398363468</v>
      </c>
      <c r="Y34" s="11" t="n">
        <v>0.849296904955032</v>
      </c>
      <c r="Z34" s="11" t="n">
        <v>0.862456549136757</v>
      </c>
      <c r="AA34" s="11" t="n">
        <v>0.877239206896131</v>
      </c>
      <c r="AB34" s="11" t="n">
        <v>0.894622354167945</v>
      </c>
      <c r="AC34" s="11" t="n">
        <v>0.934204816450957</v>
      </c>
      <c r="AD34" s="11" t="n">
        <v>0.949799549113104</v>
      </c>
      <c r="AE34" s="11" t="n">
        <v>0.987987362907361</v>
      </c>
      <c r="AF34" s="11" t="n">
        <v>1.00785908615541</v>
      </c>
      <c r="AG34" s="11" t="n">
        <v>1.01707539544984</v>
      </c>
      <c r="AH34" s="11" t="n">
        <v>0.991684737617365</v>
      </c>
      <c r="AI34" s="11" t="n">
        <v>0.871004562768477</v>
      </c>
      <c r="AJ34" s="11" t="n">
        <v>0.922070495488821</v>
      </c>
      <c r="AK34" s="11" t="n">
        <v>0.917810058079545</v>
      </c>
      <c r="AL34" s="11" t="n">
        <v>0.895428540077311</v>
      </c>
      <c r="AM34" s="11" t="n">
        <v>0.962369082226078</v>
      </c>
      <c r="AN34" s="11" t="n">
        <v>0.95780516912083</v>
      </c>
      <c r="AO34" s="11" t="n">
        <v>0.940502995717417</v>
      </c>
      <c r="AP34" s="11" t="n">
        <v>0.921375752203441</v>
      </c>
      <c r="AQ34" s="11" t="n">
        <v>0.897665693469359</v>
      </c>
      <c r="AR34" s="11" t="n">
        <v>0.869324194922547</v>
      </c>
      <c r="AS34" s="11" t="n">
        <v>0.837717195124898</v>
      </c>
      <c r="AT34" s="11" t="n">
        <v>0.810117778811832</v>
      </c>
      <c r="AU34" s="11" t="n">
        <v>0.785138458564341</v>
      </c>
      <c r="AV34" s="11" t="n">
        <v>0.762826570462175</v>
      </c>
      <c r="AW34" s="11" t="n">
        <v>0.744305059102746</v>
      </c>
      <c r="AX34" s="11" t="n">
        <v>0.729109212944149</v>
      </c>
      <c r="AY34" s="11" t="n">
        <v>0.716471381084942</v>
      </c>
      <c r="AZ34" s="11" t="n">
        <v>0.705860014568619</v>
      </c>
      <c r="BA34" s="11" t="n">
        <v>0.697525691550732</v>
      </c>
      <c r="BB34" s="11" t="n">
        <v>0.691042614811578</v>
      </c>
      <c r="BC34" s="11" t="n">
        <v>0.685901717013011</v>
      </c>
      <c r="BD34" s="11" t="n">
        <v>0.680419459385153</v>
      </c>
      <c r="BE34" s="11" t="n">
        <v>0.676523398524441</v>
      </c>
      <c r="BF34" s="11" t="n">
        <v>0.67342605920797</v>
      </c>
      <c r="BG34" s="11" t="n">
        <v>0.671560134433305</v>
      </c>
      <c r="BH34" s="11" t="n">
        <v>0.670550136243425</v>
      </c>
      <c r="BI34" s="11" t="n">
        <v>0.670346727896701</v>
      </c>
      <c r="BJ34" s="11" t="n">
        <v>0.670316108852528</v>
      </c>
      <c r="BK34" s="11" t="n">
        <v>0.671206279219926</v>
      </c>
      <c r="BL34" s="11" t="n">
        <v>0.672896882459513</v>
      </c>
      <c r="BM34" s="11" t="n">
        <v>0.674312050682475</v>
      </c>
      <c r="BN34" s="11" t="n">
        <v>4.67748153934508</v>
      </c>
      <c r="BO34" s="11" t="n">
        <v>4.19996332089298</v>
      </c>
      <c r="BP34" s="11" t="n">
        <v>3.65857223816263</v>
      </c>
      <c r="BQ34" s="11" t="n">
        <v>3.43141288128491</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7.05228750474408</v>
      </c>
      <c r="Q35" s="11" t="n">
        <v>7.4688138300499</v>
      </c>
      <c r="R35" s="11" t="n">
        <v>8.25870624154292</v>
      </c>
      <c r="S35" s="11" t="n">
        <v>7.36937772653388</v>
      </c>
      <c r="T35" s="11" t="n">
        <v>8.09555591302204</v>
      </c>
      <c r="U35" s="11" t="n">
        <v>8.88703175483168</v>
      </c>
      <c r="V35" s="11" t="n">
        <v>9.24213661121652</v>
      </c>
      <c r="W35" s="11" t="n">
        <v>9.58107153266835</v>
      </c>
      <c r="X35" s="11" t="n">
        <v>10.0020094196355</v>
      </c>
      <c r="Y35" s="11" t="n">
        <v>10.4979550302191</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4.09884472060176</v>
      </c>
      <c r="AU35" s="11" t="n">
        <v>3.89091088317771</v>
      </c>
      <c r="AV35" s="11" t="n">
        <v>3.70734813175857</v>
      </c>
      <c r="AW35" s="11" t="n">
        <v>3.53638632023551</v>
      </c>
      <c r="AX35" s="11" t="n">
        <v>3.38044042697567</v>
      </c>
      <c r="AY35" s="11" t="n">
        <v>3.24624656805012</v>
      </c>
      <c r="AZ35" s="11" t="n">
        <v>3.14013667374679</v>
      </c>
      <c r="BA35" s="11" t="n">
        <v>3.06190005083168</v>
      </c>
      <c r="BB35" s="11" t="n">
        <v>3.0277117596006</v>
      </c>
      <c r="BC35" s="11" t="n">
        <v>3.01583177269943</v>
      </c>
      <c r="BD35" s="11" t="n">
        <v>3.01833912244435</v>
      </c>
      <c r="BE35" s="11" t="n">
        <v>3.03328730057938</v>
      </c>
      <c r="BF35" s="11" t="n">
        <v>3.05775648539494</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1.48366130882975</v>
      </c>
      <c r="F36" s="11" t="n">
        <v>1.24305334298279</v>
      </c>
      <c r="G36" s="11" t="n">
        <v>0.617640551647897</v>
      </c>
      <c r="H36" s="11" t="n">
        <v>0.538700846476154</v>
      </c>
      <c r="I36" s="11" t="n">
        <v>0.546409279966551</v>
      </c>
      <c r="J36" s="11" t="n">
        <v>0.533270281772292</v>
      </c>
      <c r="K36" s="11" t="n">
        <v>0.531928867885412</v>
      </c>
      <c r="L36" s="11" t="n">
        <v>0.44692564402011</v>
      </c>
      <c r="M36" s="11" t="n">
        <v>0.43528910732139</v>
      </c>
      <c r="N36" s="11" t="n">
        <v>0.412312802276656</v>
      </c>
      <c r="O36" s="11" t="n">
        <v>0.51862161306472</v>
      </c>
      <c r="P36" s="11" t="n">
        <v>0.432138729457178</v>
      </c>
      <c r="Q36" s="11" t="n">
        <v>0.364067786446408</v>
      </c>
      <c r="R36" s="11" t="n">
        <v>0.318513971049458</v>
      </c>
      <c r="S36" s="11" t="n">
        <v>0.402942811428176</v>
      </c>
      <c r="T36" s="11" t="n">
        <v>0.368307653921605</v>
      </c>
      <c r="U36" s="11" t="n">
        <v>0.369821205860997</v>
      </c>
      <c r="V36" s="11" t="n">
        <v>0.277694286963564</v>
      </c>
      <c r="W36" s="11" t="n">
        <v>0.255311612882481</v>
      </c>
      <c r="X36" s="11" t="n">
        <v>0.195240026958578</v>
      </c>
      <c r="Y36" s="11" t="n">
        <v>0.281496039558142</v>
      </c>
      <c r="Z36" s="11" t="n">
        <v>0.399303588048535</v>
      </c>
      <c r="AA36" s="11" t="n">
        <v>0.243138181819986</v>
      </c>
      <c r="AB36" s="11" t="n">
        <v>0.294217429839836</v>
      </c>
      <c r="AC36" s="11" t="n">
        <v>0.23782779605641</v>
      </c>
      <c r="AD36" s="11" t="n">
        <v>0.274427975434271</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0.145322964863699</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0.788373788456026</v>
      </c>
      <c r="BP36" s="11" t="n">
        <v>0.788373788456026</v>
      </c>
      <c r="BQ36" s="11" t="n">
        <v>0.788373788456026</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0.426418736992623</v>
      </c>
      <c r="AE37" s="11" t="n">
        <v>0.458386532676318</v>
      </c>
      <c r="AF37" s="11" t="n">
        <v>0.460093295564997</v>
      </c>
      <c r="AG37" s="11" t="n">
        <v>0.565037427403676</v>
      </c>
      <c r="AH37" s="11" t="n">
        <v>0.49719676355469</v>
      </c>
      <c r="AI37" s="11" t="n">
        <v>0.425406162786779</v>
      </c>
      <c r="AJ37" s="11" t="n">
        <v>0.38749956929647</v>
      </c>
      <c r="AK37" s="11" t="n">
        <v>0.333442729385777</v>
      </c>
      <c r="AL37" s="11" t="n">
        <v>0.301791676439176</v>
      </c>
      <c r="AM37" s="11" t="n">
        <v>0.307854862676676</v>
      </c>
      <c r="AN37" s="11" t="n">
        <v>0.314290204270113</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0.372815184884234</v>
      </c>
      <c r="AW37" s="11" t="n">
        <v>0.380977508595361</v>
      </c>
      <c r="AX37" s="11" t="n">
        <v>0.389343890399265</v>
      </c>
      <c r="AY37" s="11" t="n">
        <v>0.389343890399265</v>
      </c>
      <c r="AZ37" s="11" t="n">
        <v>0.389343890399265</v>
      </c>
      <c r="BA37" s="11" t="n">
        <v>0.389343890399265</v>
      </c>
      <c r="BB37" s="11" t="n">
        <v>0.389343890399265</v>
      </c>
      <c r="BC37" s="11" t="n">
        <v>0.389343890399265</v>
      </c>
      <c r="BD37" s="11" t="n">
        <v>0.389343890399265</v>
      </c>
      <c r="BE37" s="11" t="n">
        <v>0.389343890399265</v>
      </c>
      <c r="BF37" s="11" t="n">
        <v>0.389343890399265</v>
      </c>
      <c r="BG37" s="11" t="n">
        <v>0.389343890399265</v>
      </c>
      <c r="BH37" s="11" t="n">
        <v>0.389343890399265</v>
      </c>
      <c r="BI37" s="11" t="n">
        <v>0.389343890399265</v>
      </c>
      <c r="BJ37" s="11" t="n">
        <v>0.389343890399265</v>
      </c>
      <c r="BK37" s="11" t="n">
        <v>0.389343890399265</v>
      </c>
      <c r="BL37" s="11" t="n">
        <v>0.389343890399265</v>
      </c>
      <c r="BM37" s="11" t="n">
        <v>0.389343890399265</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27.8666115887723</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9.76119296086783</v>
      </c>
      <c r="AB40" s="11" t="n">
        <v>8.41545417361807</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4.60736402720019</v>
      </c>
      <c r="AO40" s="11" t="n">
        <v>4.51038559622416</v>
      </c>
      <c r="AP40" s="11" t="n">
        <v>4.42293594418817</v>
      </c>
      <c r="AQ40" s="11" t="n">
        <v>4.32930428614207</v>
      </c>
      <c r="AR40" s="11" t="n">
        <v>4.2631127621995</v>
      </c>
      <c r="AS40" s="11" t="n">
        <v>4.15778687669766</v>
      </c>
      <c r="AT40" s="11" t="n">
        <v>4.08000388328714</v>
      </c>
      <c r="AU40" s="11" t="n">
        <v>3.99820628926171</v>
      </c>
      <c r="AV40" s="11" t="n">
        <v>3.91725182212682</v>
      </c>
      <c r="AW40" s="11" t="n">
        <v>3.90756704975911</v>
      </c>
      <c r="AX40" s="11" t="n">
        <v>3.89972792290694</v>
      </c>
      <c r="AY40" s="11" t="n">
        <v>3.84122680727644</v>
      </c>
      <c r="AZ40" s="11" t="n">
        <v>3.79410648218663</v>
      </c>
      <c r="BA40" s="11" t="n">
        <v>3.79051308693332</v>
      </c>
      <c r="BB40" s="11" t="n">
        <v>3.77250579726021</v>
      </c>
      <c r="BC40" s="11" t="n">
        <v>3.76540709218206</v>
      </c>
      <c r="BD40" s="11" t="n">
        <v>3.70472643017675</v>
      </c>
      <c r="BE40" s="11" t="n">
        <v>3.66657812598869</v>
      </c>
      <c r="BF40" s="11" t="n">
        <v>3.65884796650155</v>
      </c>
      <c r="BG40" s="11" t="n">
        <v>3.65529242370196</v>
      </c>
      <c r="BH40" s="11" t="n">
        <v>3.65109644634359</v>
      </c>
      <c r="BI40" s="11" t="n">
        <v>3.64820186730961</v>
      </c>
      <c r="BJ40" s="11" t="n">
        <v>3.63648293595577</v>
      </c>
      <c r="BK40" s="11" t="n">
        <v>3.62340477653251</v>
      </c>
      <c r="BL40" s="11" t="n">
        <v>3.60988263290179</v>
      </c>
      <c r="BM40" s="11" t="n">
        <v>3.60323079986035</v>
      </c>
      <c r="BN40" s="11" t="n">
        <v>22.9452019058512</v>
      </c>
      <c r="BO40" s="11" t="n">
        <v>20.8284140975881</v>
      </c>
      <c r="BP40" s="11" t="n">
        <v>19.3598800842559</v>
      </c>
      <c r="BQ40" s="11" t="n">
        <v>18.699730532541</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0.442894292416788</v>
      </c>
      <c r="O41" s="11" t="n">
        <v>0.440832972272152</v>
      </c>
      <c r="P41" s="11" t="n">
        <v>0.46202476197879</v>
      </c>
      <c r="Q41" s="11" t="n">
        <v>0.491979479550147</v>
      </c>
      <c r="R41" s="11" t="n">
        <v>0.432768472682193</v>
      </c>
      <c r="S41" s="11" t="n">
        <v>0.421690806993512</v>
      </c>
      <c r="T41" s="11" t="n">
        <v>0.412567690229287</v>
      </c>
      <c r="U41" s="11" t="n">
        <v>0.382106826564727</v>
      </c>
      <c r="V41" s="11" t="n">
        <v>0.370533797808131</v>
      </c>
      <c r="W41" s="11" t="n">
        <v>0.362480367766961</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0.259826594914701</v>
      </c>
      <c r="AQ41" s="11" t="n">
        <v>0.252551758120265</v>
      </c>
      <c r="AR41" s="11" t="n">
        <v>0.242641902370847</v>
      </c>
      <c r="AS41" s="11" t="n">
        <v>0.233218003086929</v>
      </c>
      <c r="AT41" s="11" t="n">
        <v>0.22053906038247</v>
      </c>
      <c r="AU41" s="11" t="n">
        <v>0.203643509593306</v>
      </c>
      <c r="AV41" s="11" t="n">
        <v>0.186312550598975</v>
      </c>
      <c r="AW41" s="11" t="n">
        <v>0.184860008589182</v>
      </c>
      <c r="AX41" s="11" t="n">
        <v>0.182500573003159</v>
      </c>
      <c r="AY41" s="11" t="n">
        <v>0.162360845078634</v>
      </c>
      <c r="AZ41" s="11" t="n">
        <v>0.0674546792871321</v>
      </c>
      <c r="BA41" s="11" t="n">
        <v>0.0673403531980414</v>
      </c>
      <c r="BB41" s="11" t="n">
        <v>0.058502968309159</v>
      </c>
      <c r="BC41" s="11" t="n">
        <v>0.0581678143369751</v>
      </c>
      <c r="BD41" s="11" t="n">
        <v>0.0373879612676024</v>
      </c>
      <c r="BE41" s="11" t="n">
        <v>0.0277102342592243</v>
      </c>
      <c r="BF41" s="11" t="n">
        <v>0.0277097774370079</v>
      </c>
      <c r="BG41" s="11" t="n">
        <v>0.0276567516994801</v>
      </c>
      <c r="BH41" s="11" t="n">
        <v>0.0240764958787409</v>
      </c>
      <c r="BI41" s="11" t="n">
        <v>0.0242330378964321</v>
      </c>
      <c r="BJ41" s="11" t="n">
        <v>0.0232321758114532</v>
      </c>
      <c r="BK41" s="11" t="n">
        <v>0.0174688939437664</v>
      </c>
      <c r="BL41" s="11" t="n">
        <v>0.0128977331393986</v>
      </c>
      <c r="BM41" s="11" t="n">
        <v>0.0103055391778412</v>
      </c>
      <c r="BN41" s="11" t="n">
        <v>1.3333713882988</v>
      </c>
      <c r="BO41" s="11" t="n">
        <v>1.15259423355382</v>
      </c>
      <c r="BP41" s="11" t="n">
        <v>0.783488656557082</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53.826406259734</v>
      </c>
      <c r="AN42" s="11" t="n">
        <v>51.7660487936721</v>
      </c>
      <c r="AO42" s="11" t="n">
        <v>50.7663116968459</v>
      </c>
      <c r="AP42" s="11" t="n">
        <v>50.4413368878575</v>
      </c>
      <c r="AQ42" s="11" t="n">
        <v>50.1174027899556</v>
      </c>
      <c r="AR42" s="11" t="n">
        <v>49.8234762146169</v>
      </c>
      <c r="AS42" s="11" t="n">
        <v>49.3803142662752</v>
      </c>
      <c r="AT42" s="11" t="n">
        <v>49.2652689549757</v>
      </c>
      <c r="AU42" s="11" t="n">
        <v>49.0184379375838</v>
      </c>
      <c r="AV42" s="11" t="n">
        <v>49.0110458866442</v>
      </c>
      <c r="AW42" s="11" t="n">
        <v>48.7398554387068</v>
      </c>
      <c r="AX42" s="11" t="n">
        <v>48.677113849656</v>
      </c>
      <c r="AY42" s="11" t="n">
        <v>48.6439354254233</v>
      </c>
      <c r="AZ42" s="11" t="n">
        <v>48.8499803709138</v>
      </c>
      <c r="BA42" s="11" t="n">
        <v>48.9568171606125</v>
      </c>
      <c r="BB42" s="11" t="n">
        <v>49.2305029119016</v>
      </c>
      <c r="BC42" s="11" t="n">
        <v>49.8277313278311</v>
      </c>
      <c r="BD42" s="11" t="n">
        <v>50.6077307221144</v>
      </c>
      <c r="BE42" s="11" t="n">
        <v>50.9104402774745</v>
      </c>
      <c r="BF42" s="11" t="n">
        <v>51.2710399878314</v>
      </c>
      <c r="BG42" s="11" t="n">
        <v>51.6897999918737</v>
      </c>
      <c r="BH42" s="11" t="n">
        <v>52.2172725753367</v>
      </c>
      <c r="BI42" s="11" t="n">
        <v>52.6898105238461</v>
      </c>
      <c r="BJ42" s="11" t="n">
        <v>53.21143216755</v>
      </c>
      <c r="BK42" s="11" t="n">
        <v>53.715163108215</v>
      </c>
      <c r="BL42" s="11" t="n">
        <v>54.02055387421</v>
      </c>
      <c r="BM42" s="11" t="n">
        <v>54.4968794059963</v>
      </c>
      <c r="BN42" s="11" t="n">
        <v>270.265610133708</v>
      </c>
      <c r="BO42" s="11" t="n">
        <v>247.604900163407</v>
      </c>
      <c r="BP42" s="11" t="n">
        <v>243.921930971344</v>
      </c>
      <c r="BQ42" s="11" t="n">
        <v>249.533222399934</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0.131857096314867</v>
      </c>
      <c r="AN43" s="11" t="n">
        <v>0.129588723551362</v>
      </c>
      <c r="AO43" s="11" t="n">
        <v>0.129303332334991</v>
      </c>
      <c r="AP43" s="11" t="n">
        <v>0.128922173365516</v>
      </c>
      <c r="AQ43" s="11" t="n">
        <v>0.129516463256091</v>
      </c>
      <c r="AR43" s="11" t="n">
        <v>0.129457457488364</v>
      </c>
      <c r="AS43" s="11" t="n">
        <v>0.129319390763014</v>
      </c>
      <c r="AT43" s="11" t="n">
        <v>0.12974428433236</v>
      </c>
      <c r="AU43" s="11" t="n">
        <v>0.129713430253447</v>
      </c>
      <c r="AV43" s="11" t="n">
        <v>0.129006910531359</v>
      </c>
      <c r="AW43" s="11" t="n">
        <v>0.127263039592186</v>
      </c>
      <c r="AX43" s="11" t="n">
        <v>0.124026209509751</v>
      </c>
      <c r="AY43" s="11" t="n">
        <v>0.120797588909144</v>
      </c>
      <c r="AZ43" s="11" t="n">
        <v>0.115930320835443</v>
      </c>
      <c r="BA43" s="11" t="n">
        <v>0.112993101033459</v>
      </c>
      <c r="BB43" s="11" t="n">
        <v>0.112199677916498</v>
      </c>
      <c r="BC43" s="11" t="n">
        <v>0.112984644994604</v>
      </c>
      <c r="BD43" s="11" t="n">
        <v>0.11342658507073</v>
      </c>
      <c r="BE43" s="11" t="n">
        <v>0.113534264291758</v>
      </c>
      <c r="BF43" s="11" t="n">
        <v>0.114884197853655</v>
      </c>
      <c r="BG43" s="11" t="n">
        <v>0.116249536070069</v>
      </c>
      <c r="BH43" s="11" t="n">
        <v>0.117453406278319</v>
      </c>
      <c r="BI43" s="11" t="n">
        <v>0.11855272728391</v>
      </c>
      <c r="BJ43" s="11" t="n">
        <v>0.119612610180517</v>
      </c>
      <c r="BK43" s="11" t="n">
        <v>0.120826847189868</v>
      </c>
      <c r="BL43" s="11" t="n">
        <v>0.122308365535256</v>
      </c>
      <c r="BM43" s="11" t="n">
        <v>0.123863834843908</v>
      </c>
      <c r="BN43" s="11" t="n">
        <v>0.663854318219149</v>
      </c>
      <c r="BO43" s="11" t="n">
        <v>0.647751026093276</v>
      </c>
      <c r="BP43" s="11" t="n">
        <v>0.617024069377882</v>
      </c>
      <c r="BQ43" s="11" t="n">
        <v>0.56513827330705</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5.07364558948497</v>
      </c>
      <c r="P44" s="11" t="n">
        <v>4.45325880525414</v>
      </c>
      <c r="Q44" s="11" t="n">
        <v>3.01842197338898</v>
      </c>
      <c r="R44" s="11" t="n">
        <v>2.81505100334472</v>
      </c>
      <c r="S44" s="11" t="n">
        <v>3.63996062651573</v>
      </c>
      <c r="T44" s="11" t="n">
        <v>3.0442791940789</v>
      </c>
      <c r="U44" s="11" t="n">
        <v>2.54557292799599</v>
      </c>
      <c r="V44" s="11" t="n">
        <v>2.90942202484568</v>
      </c>
      <c r="W44" s="11" t="n">
        <v>2.72152512967184</v>
      </c>
      <c r="X44" s="11" t="n">
        <v>1.44743896649675</v>
      </c>
      <c r="Y44" s="11" t="n">
        <v>1.57729522759961</v>
      </c>
      <c r="Z44" s="11" t="n">
        <v>0.759835128682743</v>
      </c>
      <c r="AA44" s="11" t="n">
        <v>0.689927058145182</v>
      </c>
      <c r="AB44" s="11" t="n">
        <v>0.671846126192616</v>
      </c>
      <c r="AC44" s="11" t="n">
        <v>0.710807215554163</v>
      </c>
      <c r="AD44" s="11" t="n">
        <v>0.675534461273334</v>
      </c>
      <c r="AE44" s="11" t="n">
        <v>0.644171223541193</v>
      </c>
      <c r="AF44" s="11" t="n">
        <v>0.655595617940846</v>
      </c>
      <c r="AG44" s="11" t="n">
        <v>0.671057262333067</v>
      </c>
      <c r="AH44" s="11" t="n">
        <v>0.665186983520861</v>
      </c>
      <c r="AI44" s="11" t="n">
        <v>0.562024686597679</v>
      </c>
      <c r="AJ44" s="11" t="n">
        <v>0.532178473754611</v>
      </c>
      <c r="AK44" s="11" t="n">
        <v>0.466551853454806</v>
      </c>
      <c r="AL44" s="11" t="n">
        <v>0.477826020714757</v>
      </c>
      <c r="AM44" s="11" t="n">
        <v>0.50508286077606</v>
      </c>
      <c r="AN44" s="11" t="n">
        <v>0.504689463202</v>
      </c>
      <c r="AO44" s="11" t="n">
        <v>0.504984176547299</v>
      </c>
      <c r="AP44" s="11" t="n">
        <v>0.505333883629712</v>
      </c>
      <c r="AQ44" s="11" t="n">
        <v>0.50649516851585</v>
      </c>
      <c r="AR44" s="11" t="n">
        <v>0.508135978766435</v>
      </c>
      <c r="AS44" s="11" t="n">
        <v>0.510270443722208</v>
      </c>
      <c r="AT44" s="11" t="n">
        <v>0.511674786240207</v>
      </c>
      <c r="AU44" s="11" t="n">
        <v>0.512456454117431</v>
      </c>
      <c r="AV44" s="11" t="n">
        <v>0.512404324113615</v>
      </c>
      <c r="AW44" s="11" t="n">
        <v>0.511630214103104</v>
      </c>
      <c r="AX44" s="11" t="n">
        <v>0.509064800027123</v>
      </c>
      <c r="AY44" s="11" t="n">
        <v>0.505930779523494</v>
      </c>
      <c r="AZ44" s="11" t="n">
        <v>0.501948596545818</v>
      </c>
      <c r="BA44" s="11" t="n">
        <v>0.501233734119286</v>
      </c>
      <c r="BB44" s="11" t="n">
        <v>0.503650726101224</v>
      </c>
      <c r="BC44" s="11" t="n">
        <v>0.506751342619683</v>
      </c>
      <c r="BD44" s="11" t="n">
        <v>0.509653047791088</v>
      </c>
      <c r="BE44" s="11" t="n">
        <v>0.512017350005041</v>
      </c>
      <c r="BF44" s="11" t="n">
        <v>0.515962885022383</v>
      </c>
      <c r="BG44" s="11" t="n">
        <v>0.519945232599438</v>
      </c>
      <c r="BH44" s="11" t="n">
        <v>0.523729783881439</v>
      </c>
      <c r="BI44" s="11" t="n">
        <v>0.527900097628006</v>
      </c>
      <c r="BJ44" s="11" t="n">
        <v>0.532039814597699</v>
      </c>
      <c r="BK44" s="11" t="n">
        <v>0.53639492817795</v>
      </c>
      <c r="BL44" s="11" t="n">
        <v>0.541097373353182</v>
      </c>
      <c r="BM44" s="11" t="n">
        <v>0.545890895218594</v>
      </c>
      <c r="BN44" s="11" t="n">
        <v>2.49791640486983</v>
      </c>
      <c r="BO44" s="11" t="n">
        <v>2.54903283136213</v>
      </c>
      <c r="BP44" s="11" t="n">
        <v>2.54097871431315</v>
      </c>
      <c r="BQ44" s="11" t="n">
        <v>2.53330620063632</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5.55186504357902</v>
      </c>
      <c r="H46" s="11" t="n">
        <v>5.54746647872344</v>
      </c>
      <c r="I46" s="11" t="n">
        <v>5.53902951394119</v>
      </c>
      <c r="J46" s="11" t="n">
        <v>5.54965155198649</v>
      </c>
      <c r="K46" s="11" t="n">
        <v>5.53405930164697</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5.57797283010562</v>
      </c>
      <c r="X46" s="11" t="n">
        <v>5.57878522339053</v>
      </c>
      <c r="Y46" s="11" t="n">
        <v>5.60501096444991</v>
      </c>
      <c r="Z46" s="11" t="n">
        <v>5.62372281146323</v>
      </c>
      <c r="AA46" s="11" t="n">
        <v>5.61193731105979</v>
      </c>
      <c r="AB46" s="11" t="n">
        <v>5.62617031143543</v>
      </c>
      <c r="AC46" s="11" t="n">
        <v>5.60602836886574</v>
      </c>
      <c r="AD46" s="11" t="n">
        <v>5.62278898771431</v>
      </c>
      <c r="AE46" s="11" t="n">
        <v>5.64143854355453</v>
      </c>
      <c r="AF46" s="11" t="n">
        <v>5.63907784389892</v>
      </c>
      <c r="AG46" s="11" t="n">
        <v>5.69160270708721</v>
      </c>
      <c r="AH46" s="11" t="n">
        <v>5.70956542589149</v>
      </c>
      <c r="AI46" s="11" t="n">
        <v>5.68909600002544</v>
      </c>
      <c r="AJ46" s="11" t="n">
        <v>5.69657165648638</v>
      </c>
      <c r="AK46" s="11" t="n">
        <v>5.71939302059153</v>
      </c>
      <c r="AL46" s="11" t="n">
        <v>5.75129142539663</v>
      </c>
      <c r="AM46" s="11" t="n">
        <v>5.77843961940047</v>
      </c>
      <c r="AN46" s="11" t="n">
        <v>5.82893431121417</v>
      </c>
      <c r="AO46" s="11" t="n">
        <v>5.87516461238546</v>
      </c>
      <c r="AP46" s="11" t="n">
        <v>5.92092678246998</v>
      </c>
      <c r="AQ46" s="11" t="n">
        <v>5.96055627423853</v>
      </c>
      <c r="AR46" s="11" t="n">
        <v>6.00469813847712</v>
      </c>
      <c r="AS46" s="11" t="n">
        <v>6.04871755683646</v>
      </c>
      <c r="AT46" s="11" t="n">
        <v>6.05489975770093</v>
      </c>
      <c r="AU46" s="11" t="n">
        <v>6.05930697368643</v>
      </c>
      <c r="AV46" s="11" t="n">
        <v>6.05892463983378</v>
      </c>
      <c r="AW46" s="11" t="n">
        <v>6.05840612219305</v>
      </c>
      <c r="AX46" s="11" t="n">
        <v>6.05759619889438</v>
      </c>
      <c r="AY46" s="11" t="n">
        <v>6.05669382061206</v>
      </c>
      <c r="AZ46" s="11" t="n">
        <v>6.05564215321823</v>
      </c>
      <c r="BA46" s="11" t="n">
        <v>6.05407666296171</v>
      </c>
      <c r="BB46" s="11" t="n">
        <v>6.05265111772195</v>
      </c>
      <c r="BC46" s="11" t="n">
        <v>6.05111180786035</v>
      </c>
      <c r="BD46" s="11" t="n">
        <v>6.05087833472176</v>
      </c>
      <c r="BE46" s="11" t="n">
        <v>6.05117502944991</v>
      </c>
      <c r="BF46" s="11" t="n">
        <v>6.05153060471665</v>
      </c>
      <c r="BG46" s="11" t="n">
        <v>6.04367299685357</v>
      </c>
      <c r="BH46" s="11" t="n">
        <v>6.03767307245211</v>
      </c>
      <c r="BI46" s="11" t="n">
        <v>6.02978817960862</v>
      </c>
      <c r="BJ46" s="11" t="n">
        <v>6.02218043965274</v>
      </c>
      <c r="BK46" s="11" t="n">
        <v>6.01467645946509</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1.54590973355711</v>
      </c>
      <c r="U47" s="11" t="n">
        <v>1.51233022580462</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37.8566680958855</v>
      </c>
      <c r="AN48" s="11" t="n">
        <v>24.4314845389245</v>
      </c>
      <c r="AO48" s="11" t="n">
        <v>20.2511210722698</v>
      </c>
      <c r="AP48" s="11" t="n">
        <v>18.2214338952379</v>
      </c>
      <c r="AQ48" s="11" t="n">
        <v>17.9739928072208</v>
      </c>
      <c r="AR48" s="11" t="n">
        <v>18.969460160792</v>
      </c>
      <c r="AS48" s="11" t="n">
        <v>19.7424498704671</v>
      </c>
      <c r="AT48" s="11" t="n">
        <v>19.4731416911865</v>
      </c>
      <c r="AU48" s="11" t="n">
        <v>20.0614873247159</v>
      </c>
      <c r="AV48" s="11" t="n">
        <v>21.0779751652071</v>
      </c>
      <c r="AW48" s="11" t="n">
        <v>22.1919665125874</v>
      </c>
      <c r="AX48" s="11" t="n">
        <v>23.424527092172</v>
      </c>
      <c r="AY48" s="11" t="n">
        <v>22.6973468916927</v>
      </c>
      <c r="AZ48" s="11" t="n">
        <v>22.9028754528284</v>
      </c>
      <c r="BA48" s="11" t="n">
        <v>23.6847865369493</v>
      </c>
      <c r="BB48" s="11" t="n">
        <v>23.8455839224175</v>
      </c>
      <c r="BC48" s="11" t="n">
        <v>24.0795344084806</v>
      </c>
      <c r="BD48" s="11" t="n">
        <v>25.2562465116758</v>
      </c>
      <c r="BE48" s="11" t="n">
        <v>26.60349637782</v>
      </c>
      <c r="BF48" s="11" t="n">
        <v>27.9004529457029</v>
      </c>
      <c r="BG48" s="11" t="n">
        <v>29.0833625854488</v>
      </c>
      <c r="BH48" s="11" t="n">
        <v>29.8070065547839</v>
      </c>
      <c r="BI48" s="11" t="n">
        <v>31.0291579565765</v>
      </c>
      <c r="BJ48" s="11" t="n">
        <v>31.9357834812467</v>
      </c>
      <c r="BK48" s="11" t="n">
        <v>31.5360446389797</v>
      </c>
      <c r="BL48" s="11" t="n">
        <v>29.8618387548112</v>
      </c>
      <c r="BM48" s="11" t="n">
        <v>29.7774556359756</v>
      </c>
      <c r="BN48" s="11" t="n">
        <v>144.091608653512</v>
      </c>
      <c r="BO48" s="11" t="n">
        <v>96.2205318543824</v>
      </c>
      <c r="BP48" s="11" t="n">
        <v>112.294691114488</v>
      </c>
      <c r="BQ48" s="11" t="n">
        <v>123.469647757343</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0.0709247278374883</v>
      </c>
      <c r="I49" s="11" t="n">
        <v>0.0742130274626892</v>
      </c>
      <c r="J49" s="11" t="n">
        <v>0.0748808413651573</v>
      </c>
      <c r="K49" s="11" t="n">
        <v>0.0758501153320661</v>
      </c>
      <c r="L49" s="11" t="n">
        <v>0.0732454613383986</v>
      </c>
      <c r="M49" s="11" t="n">
        <v>0.0774811747973583</v>
      </c>
      <c r="N49" s="11" t="n">
        <v>0.0793672420704025</v>
      </c>
      <c r="O49" s="11" t="n">
        <v>0.0846894349742251</v>
      </c>
      <c r="P49" s="11" t="n">
        <v>0.0917537201635203</v>
      </c>
      <c r="Q49" s="11" t="n">
        <v>0.0907429907796952</v>
      </c>
      <c r="R49" s="11" t="n">
        <v>0.0941428339572569</v>
      </c>
      <c r="S49" s="11" t="n">
        <v>0.0957489905159301</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0.211350425583012</v>
      </c>
      <c r="AE49" s="11" t="n">
        <v>0.220751805792713</v>
      </c>
      <c r="AF49" s="11" t="n">
        <v>0.222246360185227</v>
      </c>
      <c r="AG49" s="11" t="n">
        <v>0.249516926143695</v>
      </c>
      <c r="AH49" s="11" t="n">
        <v>0.272413021693873</v>
      </c>
      <c r="AI49" s="11" t="n">
        <v>0.274611055142342</v>
      </c>
      <c r="AJ49" s="11" t="n">
        <v>0.29493541718883</v>
      </c>
      <c r="AK49" s="11" t="n">
        <v>0.268806108474927</v>
      </c>
      <c r="AL49" s="11" t="n">
        <v>0.261550530209526</v>
      </c>
      <c r="AM49" s="11" t="n">
        <v>0.379703717078091</v>
      </c>
      <c r="AN49" s="11" t="n">
        <v>0.370435065420264</v>
      </c>
      <c r="AO49" s="11" t="n">
        <v>0.355082381025912</v>
      </c>
      <c r="AP49" s="11" t="n">
        <v>0.323997084392519</v>
      </c>
      <c r="AQ49" s="11" t="n">
        <v>0.244245908196493</v>
      </c>
      <c r="AR49" s="11" t="n">
        <v>0.238076217956556</v>
      </c>
      <c r="AS49" s="11" t="n">
        <v>0.239338155496143</v>
      </c>
      <c r="AT49" s="11" t="n">
        <v>0.235866339776932</v>
      </c>
      <c r="AU49" s="11" t="n">
        <v>0.187870751625725</v>
      </c>
      <c r="AV49" s="11" t="n">
        <v>0.188107850975667</v>
      </c>
      <c r="AW49" s="11" t="n">
        <v>0.187828866811411</v>
      </c>
      <c r="AX49" s="11" t="n">
        <v>0.16611794138832</v>
      </c>
      <c r="AY49" s="11" t="n">
        <v>0.1625638014851</v>
      </c>
      <c r="AZ49" s="11" t="n">
        <v>0.157330142489851</v>
      </c>
      <c r="BA49" s="11" t="n">
        <v>0.158861586164818</v>
      </c>
      <c r="BB49" s="11" t="n">
        <v>0.15935941387045</v>
      </c>
      <c r="BC49" s="11" t="n">
        <v>0.15865426589671</v>
      </c>
      <c r="BD49" s="11" t="n">
        <v>0.154631693148298</v>
      </c>
      <c r="BE49" s="11" t="n">
        <v>0.147042682351724</v>
      </c>
      <c r="BF49" s="11" t="n">
        <v>0.142527829052947</v>
      </c>
      <c r="BG49" s="11" t="n">
        <v>0.137354908231648</v>
      </c>
      <c r="BH49" s="11" t="n">
        <v>0.138466129580335</v>
      </c>
      <c r="BI49" s="11" t="n">
        <v>0.139318512681201</v>
      </c>
      <c r="BJ49" s="11" t="n">
        <v>0.140127976698323</v>
      </c>
      <c r="BK49" s="11" t="n">
        <v>0.140274389509082</v>
      </c>
      <c r="BL49" s="11" t="n">
        <v>0.13992524901477</v>
      </c>
      <c r="BM49" s="11" t="n">
        <v>0.140437407912058</v>
      </c>
      <c r="BN49" s="11" t="n">
        <v>1.69076877812631</v>
      </c>
      <c r="BO49" s="11" t="n">
        <v>1.14539737305185</v>
      </c>
      <c r="BP49" s="11" t="n">
        <v>0.861948603150349</v>
      </c>
      <c r="BQ49" s="11" t="n">
        <v>0.778549641432001</v>
      </c>
    </row>
    <row r="50" customFormat="false" ht="13.8" hidden="false" customHeight="false" outlineLevel="0" collapsed="false">
      <c r="A50" s="11" t="s">
        <v>156</v>
      </c>
      <c r="B50" s="11" t="s">
        <v>151</v>
      </c>
      <c r="C50" s="11" t="s">
        <v>139</v>
      </c>
      <c r="D50" s="12"/>
      <c r="E50" s="11" t="n">
        <v>0.984987691558184</v>
      </c>
      <c r="F50" s="11" t="n">
        <v>0.970048388417934</v>
      </c>
      <c r="G50" s="11" t="n">
        <v>0.910617933265949</v>
      </c>
      <c r="H50" s="11" t="n">
        <v>0.771978697012649</v>
      </c>
      <c r="I50" s="11" t="n">
        <v>0.737321268443208</v>
      </c>
      <c r="J50" s="11" t="n">
        <v>0.709397209019641</v>
      </c>
      <c r="K50" s="11" t="n">
        <v>0.6612887889585</v>
      </c>
      <c r="L50" s="11" t="n">
        <v>0.568914048515287</v>
      </c>
      <c r="M50" s="11" t="n">
        <v>0.586389592586241</v>
      </c>
      <c r="N50" s="11" t="n">
        <v>0.513498687002719</v>
      </c>
      <c r="O50" s="11" t="n">
        <v>0.574804572248271</v>
      </c>
      <c r="P50" s="11" t="n">
        <v>0.632355500344122</v>
      </c>
      <c r="Q50" s="11" t="n">
        <v>0.597481798965218</v>
      </c>
      <c r="R50" s="11" t="n">
        <v>0.652412845375287</v>
      </c>
      <c r="S50" s="11" t="n">
        <v>0.634687425943724</v>
      </c>
      <c r="T50" s="11" t="n">
        <v>0.672744029106066</v>
      </c>
      <c r="U50" s="11" t="n">
        <v>0.726225392133559</v>
      </c>
      <c r="V50" s="11" t="n">
        <v>0.673849210882455</v>
      </c>
      <c r="W50" s="11" t="n">
        <v>0.637459708292023</v>
      </c>
      <c r="X50" s="11" t="n">
        <v>0.548443507955348</v>
      </c>
      <c r="Y50" s="11" t="n">
        <v>0.577056570762781</v>
      </c>
      <c r="Z50" s="11" t="n">
        <v>0.580114063030645</v>
      </c>
      <c r="AA50" s="11" t="n">
        <v>0.739849019698221</v>
      </c>
      <c r="AB50" s="11" t="n">
        <v>0.714748016401048</v>
      </c>
      <c r="AC50" s="11" t="n">
        <v>0.62046564927776</v>
      </c>
      <c r="AD50" s="11" t="n">
        <v>0.568838988121384</v>
      </c>
      <c r="AE50" s="11" t="n">
        <v>0.39786726674901</v>
      </c>
      <c r="AF50" s="11" t="n">
        <v>0.365313374041686</v>
      </c>
      <c r="AG50" s="11" t="n">
        <v>0.377926428764218</v>
      </c>
      <c r="AH50" s="11" t="n">
        <v>0.368168520875392</v>
      </c>
      <c r="AI50" s="11" t="n">
        <v>0.365816544629617</v>
      </c>
      <c r="AJ50" s="11" t="n">
        <v>0.393674218221008</v>
      </c>
      <c r="AK50" s="11" t="n">
        <v>0.35714368175873</v>
      </c>
      <c r="AL50" s="11" t="n">
        <v>0.341045187738303</v>
      </c>
      <c r="AM50" s="11" t="n">
        <v>0.486442348284053</v>
      </c>
      <c r="AN50" s="11" t="n">
        <v>0.46599015552127</v>
      </c>
      <c r="AO50" s="11" t="n">
        <v>0.447290447416029</v>
      </c>
      <c r="AP50" s="11" t="n">
        <v>0.408420167844947</v>
      </c>
      <c r="AQ50" s="11" t="n">
        <v>0.308196361344456</v>
      </c>
      <c r="AR50" s="11" t="n">
        <v>0.300100673666459</v>
      </c>
      <c r="AS50" s="11" t="n">
        <v>0.301563401363988</v>
      </c>
      <c r="AT50" s="11" t="n">
        <v>0.297234225862881</v>
      </c>
      <c r="AU50" s="11" t="n">
        <v>0.236651950554933</v>
      </c>
      <c r="AV50" s="11" t="n">
        <v>0.236781485604405</v>
      </c>
      <c r="AW50" s="11" t="n">
        <v>0.236252891995291</v>
      </c>
      <c r="AX50" s="11" t="n">
        <v>0.208704403445785</v>
      </c>
      <c r="AY50" s="11" t="n">
        <v>0.204346568904081</v>
      </c>
      <c r="AZ50" s="11" t="n">
        <v>0.197728493856375</v>
      </c>
      <c r="BA50" s="11" t="n">
        <v>0.19952785649233</v>
      </c>
      <c r="BB50" s="11" t="n">
        <v>0.200136676571539</v>
      </c>
      <c r="BC50" s="11" t="n">
        <v>0.199148299095962</v>
      </c>
      <c r="BD50" s="11" t="n">
        <v>0.19386386904632</v>
      </c>
      <c r="BE50" s="11" t="n">
        <v>0.184053649530674</v>
      </c>
      <c r="BF50" s="11" t="n">
        <v>0.178101889539159</v>
      </c>
      <c r="BG50" s="11" t="n">
        <v>0.171274811850295</v>
      </c>
      <c r="BH50" s="11" t="n">
        <v>0.172275854243753</v>
      </c>
      <c r="BI50" s="11" t="n">
        <v>0.173179102989705</v>
      </c>
      <c r="BJ50" s="11" t="n">
        <v>0.174028706302433</v>
      </c>
      <c r="BK50" s="11" t="n">
        <v>0.17426483755729</v>
      </c>
      <c r="BL50" s="11" t="n">
        <v>0.173958810576681</v>
      </c>
      <c r="BM50" s="11" t="n">
        <v>0.174469200479405</v>
      </c>
      <c r="BN50" s="11" t="n">
        <v>2.1491883068046</v>
      </c>
      <c r="BO50" s="11" t="n">
        <v>1.44374661279272</v>
      </c>
      <c r="BP50" s="11" t="n">
        <v>1.08381384380594</v>
      </c>
      <c r="BQ50" s="11" t="n">
        <v>0.976730350736825</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71.8668526746167</v>
      </c>
      <c r="M52" s="11" t="n">
        <v>71.437171210827</v>
      </c>
      <c r="N52" s="11" t="n">
        <v>68.9718781335775</v>
      </c>
      <c r="O52" s="11" t="n">
        <v>66.1216312178532</v>
      </c>
      <c r="P52" s="11" t="n">
        <v>63.8864157779356</v>
      </c>
      <c r="Q52" s="11" t="n">
        <v>63.4236235102702</v>
      </c>
      <c r="R52" s="11" t="n">
        <v>59.9558712542823</v>
      </c>
      <c r="S52" s="11" t="n">
        <v>55.2688216322833</v>
      </c>
      <c r="T52" s="11" t="n">
        <v>52.9833963820738</v>
      </c>
      <c r="U52" s="11" t="n">
        <v>51.0954461139793</v>
      </c>
      <c r="V52" s="11" t="n">
        <v>47.3995206969938</v>
      </c>
      <c r="W52" s="11" t="n">
        <v>42.6149904906712</v>
      </c>
      <c r="X52" s="11" t="n">
        <v>38.5185777277248</v>
      </c>
      <c r="Y52" s="11" t="n">
        <v>33.2083199621817</v>
      </c>
      <c r="Z52" s="11" t="n">
        <v>30.8558884109676</v>
      </c>
      <c r="AA52" s="11" t="n">
        <v>29.1299107625631</v>
      </c>
      <c r="AB52" s="11" t="n">
        <v>25.716866743767</v>
      </c>
      <c r="AC52" s="11" t="n">
        <v>23.1953408858308</v>
      </c>
      <c r="AD52" s="11" t="n">
        <v>22.3648223414965</v>
      </c>
      <c r="AE52" s="11" t="n">
        <v>21.1547525779738</v>
      </c>
      <c r="AF52" s="11" t="n">
        <v>21.4242303804281</v>
      </c>
      <c r="AG52" s="11" t="n">
        <v>21.2945620332643</v>
      </c>
      <c r="AH52" s="11" t="n">
        <v>20.8253175246668</v>
      </c>
      <c r="AI52" s="11" t="n">
        <v>19.3011141759919</v>
      </c>
      <c r="AJ52" s="11" t="n">
        <v>18.1553437634056</v>
      </c>
      <c r="AK52" s="11" t="n">
        <v>18.0570091121117</v>
      </c>
      <c r="AL52" s="11" t="n">
        <v>17.8914413549416</v>
      </c>
      <c r="AM52" s="11" t="n">
        <v>17.0850291704747</v>
      </c>
      <c r="AN52" s="11" t="n">
        <v>16.7087434666579</v>
      </c>
      <c r="AO52" s="11" t="n">
        <v>16.2838710150735</v>
      </c>
      <c r="AP52" s="11" t="n">
        <v>16.5890651383816</v>
      </c>
      <c r="AQ52" s="11" t="n">
        <v>15.6118155960687</v>
      </c>
      <c r="AR52" s="11" t="n">
        <v>14.7518597278136</v>
      </c>
      <c r="AS52" s="11" t="n">
        <v>13.961434129156</v>
      </c>
      <c r="AT52" s="11" t="n">
        <v>13.2646876862591</v>
      </c>
      <c r="AU52" s="11" t="n">
        <v>12.6516465016031</v>
      </c>
      <c r="AV52" s="11" t="n">
        <v>12.1140842315233</v>
      </c>
      <c r="AW52" s="11" t="n">
        <v>11.6466433210186</v>
      </c>
      <c r="AX52" s="11" t="n">
        <v>11.2415414735956</v>
      </c>
      <c r="AY52" s="11" t="n">
        <v>10.8907584485973</v>
      </c>
      <c r="AZ52" s="11" t="n">
        <v>10.5865874968246</v>
      </c>
      <c r="BA52" s="11" t="n">
        <v>10.3249136396055</v>
      </c>
      <c r="BB52" s="11" t="n">
        <v>10.1020040487465</v>
      </c>
      <c r="BC52" s="11" t="n">
        <v>9.91471415800085</v>
      </c>
      <c r="BD52" s="11" t="n">
        <v>9.79662181413858</v>
      </c>
      <c r="BE52" s="11" t="n">
        <v>9.70809975879886</v>
      </c>
      <c r="BF52" s="11" t="n">
        <v>9.64669457071947</v>
      </c>
      <c r="BG52" s="11" t="n">
        <v>9.61017841441223</v>
      </c>
      <c r="BH52" s="11" t="n">
        <v>9.59728490216657</v>
      </c>
      <c r="BI52" s="11" t="n">
        <v>9.60471174816616</v>
      </c>
      <c r="BJ52" s="11" t="n">
        <v>9.6306070877834</v>
      </c>
      <c r="BK52" s="11" t="n">
        <v>9.67346437631095</v>
      </c>
      <c r="BL52" s="11" t="n">
        <v>9.73210212346832</v>
      </c>
      <c r="BM52" s="11" t="n">
        <v>9.80541975718671</v>
      </c>
      <c r="BN52" s="11" t="n">
        <v>84.5581501455294</v>
      </c>
      <c r="BO52" s="11" t="n">
        <v>70.2414436409005</v>
      </c>
      <c r="BP52" s="11" t="n">
        <v>56.4796149715593</v>
      </c>
      <c r="BQ52" s="11" t="n">
        <v>49.8463534192903</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0.914269940585073</v>
      </c>
      <c r="K53" s="11" t="n">
        <v>0.948977695066554</v>
      </c>
      <c r="L53" s="11" t="n">
        <v>0.960229133477018</v>
      </c>
      <c r="M53" s="11" t="n">
        <v>0.990264616022948</v>
      </c>
      <c r="N53" s="11" t="n">
        <v>0.9892457885681</v>
      </c>
      <c r="O53" s="11" t="n">
        <v>1.03182659578218</v>
      </c>
      <c r="P53" s="11" t="n">
        <v>1.01501682257822</v>
      </c>
      <c r="Q53" s="11" t="n">
        <v>1.03773758149955</v>
      </c>
      <c r="R53" s="11" t="n">
        <v>1.04726854425037</v>
      </c>
      <c r="S53" s="11" t="n">
        <v>1.05229317532329</v>
      </c>
      <c r="T53" s="11" t="n">
        <v>1.09134261724207</v>
      </c>
      <c r="U53" s="11" t="n">
        <v>1.11377060691125</v>
      </c>
      <c r="V53" s="11" t="n">
        <v>1.14055693363522</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1.51665579467754</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1.48301869718965</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41.7157833262764</v>
      </c>
      <c r="AO54" s="11" t="n">
        <v>40.3317199655448</v>
      </c>
      <c r="AP54" s="11" t="n">
        <v>39.6947422224084</v>
      </c>
      <c r="AQ54" s="11" t="n">
        <v>38.9207505205954</v>
      </c>
      <c r="AR54" s="11" t="n">
        <v>39.2664223908651</v>
      </c>
      <c r="AS54" s="11" t="n">
        <v>38.4092097516923</v>
      </c>
      <c r="AT54" s="11" t="n">
        <v>38.4444895844318</v>
      </c>
      <c r="AU54" s="11" t="n">
        <v>38.2037186337618</v>
      </c>
      <c r="AV54" s="11" t="n">
        <v>37.6277859439916</v>
      </c>
      <c r="AW54" s="11" t="n">
        <v>37.2166386653542</v>
      </c>
      <c r="AX54" s="11" t="n">
        <v>37.0981463470398</v>
      </c>
      <c r="AY54" s="11" t="n">
        <v>36.5891578738142</v>
      </c>
      <c r="AZ54" s="11" t="n">
        <v>35.9182213574036</v>
      </c>
      <c r="BA54" s="11" t="n">
        <v>35.8136974540574</v>
      </c>
      <c r="BB54" s="11" t="n">
        <v>35.9015938399772</v>
      </c>
      <c r="BC54" s="11" t="n">
        <v>35.6856977158581</v>
      </c>
      <c r="BD54" s="11" t="n">
        <v>36.1606420260223</v>
      </c>
      <c r="BE54" s="11" t="n">
        <v>36.687548450968</v>
      </c>
      <c r="BF54" s="11" t="n">
        <v>36.6236869723127</v>
      </c>
      <c r="BG54" s="11" t="n">
        <v>36.3357281959336</v>
      </c>
      <c r="BH54" s="11" t="n">
        <v>35.8920091015243</v>
      </c>
      <c r="BI54" s="11" t="n">
        <v>35.4214631159874</v>
      </c>
      <c r="BJ54" s="11" t="n">
        <v>34.7345965630438</v>
      </c>
      <c r="BK54" s="11" t="n">
        <v>34.9345602173119</v>
      </c>
      <c r="BL54" s="11" t="n">
        <v>33.843466886843</v>
      </c>
      <c r="BM54" s="11" t="n">
        <v>33.307094691646</v>
      </c>
      <c r="BN54" s="11" t="n">
        <v>202.805545137353</v>
      </c>
      <c r="BO54" s="11" t="n">
        <v>193.244590881346</v>
      </c>
      <c r="BP54" s="11" t="n">
        <v>184.449950187603</v>
      </c>
      <c r="BQ54" s="11" t="n">
        <v>180.249179486883</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0.00470553616881829</v>
      </c>
      <c r="AO55" s="11" t="n">
        <v>0.00458517306709838</v>
      </c>
      <c r="AP55" s="11" t="n">
        <v>0.00451532455233461</v>
      </c>
      <c r="AQ55" s="11" t="n">
        <v>0.0044379038394417</v>
      </c>
      <c r="AR55" s="11" t="n">
        <v>0.00444467793980131</v>
      </c>
      <c r="AS55" s="11" t="n">
        <v>0.00436271013207668</v>
      </c>
      <c r="AT55" s="11" t="n">
        <v>0.00434714830643254</v>
      </c>
      <c r="AU55" s="11" t="n">
        <v>0.00431370902316146</v>
      </c>
      <c r="AV55" s="11" t="n">
        <v>0.00425358707688592</v>
      </c>
      <c r="AW55" s="11" t="n">
        <v>0.00420533295989446</v>
      </c>
      <c r="AX55" s="11" t="n">
        <v>0.00418376540072138</v>
      </c>
      <c r="AY55" s="11" t="n">
        <v>0.0041388769452425</v>
      </c>
      <c r="AZ55" s="11" t="n">
        <v>0.00408246549447917</v>
      </c>
      <c r="BA55" s="11" t="n">
        <v>0.00406094342179965</v>
      </c>
      <c r="BB55" s="11" t="n">
        <v>0.00405691891697305</v>
      </c>
      <c r="BC55" s="11" t="n">
        <v>0.00402657938020828</v>
      </c>
      <c r="BD55" s="11" t="n">
        <v>0.00404413926756499</v>
      </c>
      <c r="BE55" s="11" t="n">
        <v>0.00406367632437235</v>
      </c>
      <c r="BF55" s="11" t="n">
        <v>0.00399018156004554</v>
      </c>
      <c r="BG55" s="11" t="n">
        <v>0.00389607448716321</v>
      </c>
      <c r="BH55" s="11" t="n">
        <v>0.00379090341208511</v>
      </c>
      <c r="BI55" s="11" t="n">
        <v>0.00368488716368736</v>
      </c>
      <c r="BJ55" s="11" t="n">
        <v>0.00356290270587495</v>
      </c>
      <c r="BK55" s="11" t="n">
        <v>0.00350633926770168</v>
      </c>
      <c r="BL55" s="11" t="n">
        <v>0.00335973718568122</v>
      </c>
      <c r="BM55" s="11" t="n">
        <v>0.00325725004990249</v>
      </c>
      <c r="BN55" s="11" t="n">
        <v>0.0231710699573448</v>
      </c>
      <c r="BO55" s="11" t="n">
        <v>0.0219061492409137</v>
      </c>
      <c r="BP55" s="11" t="n">
        <v>0.0208640278772234</v>
      </c>
      <c r="BQ55" s="11" t="n">
        <v>0.0202522573109183</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0.375872011388632</v>
      </c>
      <c r="AO56" s="11" t="n">
        <v>0.363864067853556</v>
      </c>
      <c r="AP56" s="11" t="n">
        <v>0.358150624853152</v>
      </c>
      <c r="AQ56" s="11" t="n">
        <v>0.351304686893078</v>
      </c>
      <c r="AR56" s="11" t="n">
        <v>0.354002247579535</v>
      </c>
      <c r="AS56" s="11" t="n">
        <v>0.346469118776747</v>
      </c>
      <c r="AT56" s="11" t="n">
        <v>0.346534042822323</v>
      </c>
      <c r="AU56" s="11" t="n">
        <v>0.344283325267655</v>
      </c>
      <c r="AV56" s="11" t="n">
        <v>0.339156688946744</v>
      </c>
      <c r="AW56" s="11" t="n">
        <v>0.335427831805099</v>
      </c>
      <c r="AX56" s="11" t="n">
        <v>0.334254011625426</v>
      </c>
      <c r="AY56" s="11" t="n">
        <v>0.329830007153437</v>
      </c>
      <c r="AZ56" s="11" t="n">
        <v>0.324034109818168</v>
      </c>
      <c r="BA56" s="11" t="n">
        <v>0.322966341967547</v>
      </c>
      <c r="BB56" s="11" t="n">
        <v>0.323577876026921</v>
      </c>
      <c r="BC56" s="11" t="n">
        <v>0.321555092344894</v>
      </c>
      <c r="BD56" s="11" t="n">
        <v>0.325368297479554</v>
      </c>
      <c r="BE56" s="11" t="n">
        <v>0.329599417900837</v>
      </c>
      <c r="BF56" s="11" t="n">
        <v>0.328165884425265</v>
      </c>
      <c r="BG56" s="11" t="n">
        <v>0.324773563630913</v>
      </c>
      <c r="BH56" s="11" t="n">
        <v>0.320062009721528</v>
      </c>
      <c r="BI56" s="11" t="n">
        <v>0.31513696842651</v>
      </c>
      <c r="BJ56" s="11" t="n">
        <v>0.308371971863813</v>
      </c>
      <c r="BK56" s="11" t="n">
        <v>0.309149527168561</v>
      </c>
      <c r="BL56" s="11" t="n">
        <v>0.299013892362344</v>
      </c>
      <c r="BM56" s="11" t="n">
        <v>0.293637537254966</v>
      </c>
      <c r="BN56" s="11" t="n">
        <v>1.83115404818567</v>
      </c>
      <c r="BO56" s="11" t="n">
        <v>1.74259342133934</v>
      </c>
      <c r="BP56" s="11" t="n">
        <v>1.66270264934887</v>
      </c>
      <c r="BQ56" s="11" t="n">
        <v>1.62306702571975</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163</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447.51561627128</v>
      </c>
      <c r="AI4" s="11" t="n">
        <v>407.975238765153</v>
      </c>
      <c r="AJ4" s="11" t="n">
        <v>422.475570116601</v>
      </c>
      <c r="AK4" s="11" t="n">
        <v>404.682267986786</v>
      </c>
      <c r="AL4" s="11" t="n">
        <v>384.972556090126</v>
      </c>
      <c r="AM4" s="11" t="n">
        <v>371.759487375243</v>
      </c>
      <c r="AN4" s="11" t="n">
        <v>362.898786020017</v>
      </c>
      <c r="AO4" s="11" t="n">
        <v>354.744506534511</v>
      </c>
      <c r="AP4" s="11" t="n">
        <v>348.072934463033</v>
      </c>
      <c r="AQ4" s="11" t="n">
        <v>340.09367986565</v>
      </c>
      <c r="AR4" s="11" t="n">
        <v>333.009438236142</v>
      </c>
      <c r="AS4" s="11" t="n">
        <v>326.156776221917</v>
      </c>
      <c r="AT4" s="11" t="n">
        <v>318.581297469546</v>
      </c>
      <c r="AU4" s="11" t="n">
        <v>312.619323417301</v>
      </c>
      <c r="AV4" s="11" t="n">
        <v>307.683256852464</v>
      </c>
      <c r="AW4" s="11" t="n">
        <v>303.634811286583</v>
      </c>
      <c r="AX4" s="11" t="n">
        <v>300.056268336914</v>
      </c>
      <c r="AY4" s="11" t="n">
        <v>293.734010766508</v>
      </c>
      <c r="AZ4" s="11" t="n">
        <v>290.05603428997</v>
      </c>
      <c r="BA4" s="11" t="n">
        <v>286.865111505372</v>
      </c>
      <c r="BB4" s="11" t="n">
        <v>283.977968859748</v>
      </c>
      <c r="BC4" s="11" t="n">
        <v>282.397579566003</v>
      </c>
      <c r="BD4" s="11" t="n">
        <v>281.307601378866</v>
      </c>
      <c r="BE4" s="11" t="n">
        <v>280.495920778467</v>
      </c>
      <c r="BF4" s="11" t="n">
        <v>280.119330143395</v>
      </c>
      <c r="BG4" s="11" t="n">
        <v>280.253192857713</v>
      </c>
      <c r="BH4" s="11" t="n">
        <v>279.642911912394</v>
      </c>
      <c r="BI4" s="11" t="n">
        <v>280.121666979502</v>
      </c>
      <c r="BJ4" s="11" t="n">
        <v>280.686002804573</v>
      </c>
      <c r="BK4" s="11" t="n">
        <v>281.97837060229</v>
      </c>
      <c r="BL4" s="11" t="n">
        <v>282.002383786784</v>
      </c>
      <c r="BM4" s="11" t="n">
        <v>280.921836107797</v>
      </c>
      <c r="BN4" s="11" t="n">
        <v>1822.44827048293</v>
      </c>
      <c r="BO4" s="11" t="n">
        <v>1630.46051521056</v>
      </c>
      <c r="BP4" s="11" t="n">
        <v>1495.16438153244</v>
      </c>
      <c r="BQ4" s="11" t="n">
        <v>1415.04418208846</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405.512653250678</v>
      </c>
      <c r="AO5" s="11" t="n">
        <v>396.782574157865</v>
      </c>
      <c r="AP5" s="11" t="n">
        <v>389.873707378763</v>
      </c>
      <c r="AQ5" s="11" t="n">
        <v>380.891325281021</v>
      </c>
      <c r="AR5" s="11" t="n">
        <v>373.992433057556</v>
      </c>
      <c r="AS5" s="11" t="n">
        <v>366.070974494653</v>
      </c>
      <c r="AT5" s="11" t="n">
        <v>358.357034295619</v>
      </c>
      <c r="AU5" s="11" t="n">
        <v>351.979836051003</v>
      </c>
      <c r="AV5" s="11" t="n">
        <v>346.291668818901</v>
      </c>
      <c r="AW5" s="11" t="n">
        <v>341.670091188054</v>
      </c>
      <c r="AX5" s="11" t="n">
        <v>337.825374607186</v>
      </c>
      <c r="AY5" s="11" t="n">
        <v>330.845169796302</v>
      </c>
      <c r="AZ5" s="11" t="n">
        <v>326.352458958764</v>
      </c>
      <c r="BA5" s="11" t="n">
        <v>322.924110479282</v>
      </c>
      <c r="BB5" s="11" t="n">
        <v>319.994664242073</v>
      </c>
      <c r="BC5" s="11" t="n">
        <v>318.069140116053</v>
      </c>
      <c r="BD5" s="11" t="n">
        <v>317.387681894236</v>
      </c>
      <c r="BE5" s="11" t="n">
        <v>317.034440217797</v>
      </c>
      <c r="BF5" s="11" t="n">
        <v>316.52500816328</v>
      </c>
      <c r="BG5" s="11" t="n">
        <v>316.303789770938</v>
      </c>
      <c r="BH5" s="11" t="n">
        <v>315.18533084592</v>
      </c>
      <c r="BI5" s="11" t="n">
        <v>315.130998163828</v>
      </c>
      <c r="BJ5" s="11" t="n">
        <v>314.950948489752</v>
      </c>
      <c r="BK5" s="11" t="n">
        <v>316.371604822682</v>
      </c>
      <c r="BL5" s="11" t="n">
        <v>315.258455186369</v>
      </c>
      <c r="BM5" s="11" t="n">
        <v>313.587533622506</v>
      </c>
      <c r="BN5" s="11" t="n">
        <v>2030.70691025606</v>
      </c>
      <c r="BO5" s="11" t="n">
        <v>1831.29160317985</v>
      </c>
      <c r="BP5" s="11" t="n">
        <v>1682.98476336921</v>
      </c>
      <c r="BQ5" s="11" t="n">
        <v>1595.41003694944</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362.898786020017</v>
      </c>
      <c r="AO6" s="11" t="n">
        <v>354.744506534511</v>
      </c>
      <c r="AP6" s="11" t="n">
        <v>348.072934463033</v>
      </c>
      <c r="AQ6" s="11" t="n">
        <v>340.09367986565</v>
      </c>
      <c r="AR6" s="11" t="n">
        <v>333.009438236142</v>
      </c>
      <c r="AS6" s="11" t="n">
        <v>326.156776221917</v>
      </c>
      <c r="AT6" s="11" t="n">
        <v>318.581297469546</v>
      </c>
      <c r="AU6" s="11" t="n">
        <v>312.619323417301</v>
      </c>
      <c r="AV6" s="11" t="n">
        <v>346.2916688189</v>
      </c>
      <c r="AW6" s="11" t="n">
        <v>341.670091188054</v>
      </c>
      <c r="AX6" s="11" t="n">
        <v>337.825374607186</v>
      </c>
      <c r="AY6" s="11" t="n">
        <v>330.845169796302</v>
      </c>
      <c r="AZ6" s="11" t="n">
        <v>326.352458958764</v>
      </c>
      <c r="BA6" s="11"/>
      <c r="BB6" s="11"/>
      <c r="BC6" s="11"/>
      <c r="BD6" s="11"/>
      <c r="BE6" s="11"/>
      <c r="BF6" s="11"/>
      <c r="BG6" s="11"/>
      <c r="BH6" s="11"/>
      <c r="BI6" s="11"/>
      <c r="BJ6" s="11"/>
      <c r="BK6" s="11"/>
      <c r="BL6" s="11"/>
      <c r="BM6" s="11"/>
      <c r="BN6" s="11" t="n">
        <v>1822.44827048293</v>
      </c>
      <c r="BO6" s="11" t="n">
        <v>1630.46051521056</v>
      </c>
      <c r="BP6" s="11" t="n">
        <v>1682.98476336921</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362.898786020017</v>
      </c>
      <c r="AO7" s="11" t="n">
        <v>354.744506534511</v>
      </c>
      <c r="AP7" s="11" t="n">
        <v>348.072934463033</v>
      </c>
      <c r="AQ7" s="11" t="n">
        <v>340.09367986565</v>
      </c>
      <c r="AR7" s="11" t="n">
        <v>333.009438236142</v>
      </c>
      <c r="AS7" s="11" t="n">
        <v>326.156776221917</v>
      </c>
      <c r="AT7" s="11" t="n">
        <v>318.581297469546</v>
      </c>
      <c r="AU7" s="11" t="n">
        <v>312.619323417301</v>
      </c>
      <c r="AV7" s="11"/>
      <c r="AW7" s="11"/>
      <c r="AX7" s="11"/>
      <c r="AY7" s="11"/>
      <c r="AZ7" s="11"/>
      <c r="BA7" s="11"/>
      <c r="BB7" s="11"/>
      <c r="BC7" s="11"/>
      <c r="BD7" s="11"/>
      <c r="BE7" s="11"/>
      <c r="BF7" s="11"/>
      <c r="BG7" s="11"/>
      <c r="BH7" s="11"/>
      <c r="BI7" s="11"/>
      <c r="BJ7" s="11"/>
      <c r="BK7" s="11"/>
      <c r="BL7" s="11"/>
      <c r="BM7" s="11"/>
      <c r="BN7" s="11" t="n">
        <v>1822.44827048293</v>
      </c>
      <c r="BO7" s="11" t="n">
        <v>1630.46051521056</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346.2916688189</v>
      </c>
      <c r="AW8" s="11" t="n">
        <v>341.670091188054</v>
      </c>
      <c r="AX8" s="11" t="n">
        <v>337.825374607186</v>
      </c>
      <c r="AY8" s="11" t="n">
        <v>330.845169796302</v>
      </c>
      <c r="AZ8" s="11" t="n">
        <v>326.352458958764</v>
      </c>
      <c r="BA8" s="11"/>
      <c r="BB8" s="11"/>
      <c r="BC8" s="11"/>
      <c r="BD8" s="11"/>
      <c r="BE8" s="11"/>
      <c r="BF8" s="11"/>
      <c r="BG8" s="11"/>
      <c r="BH8" s="11"/>
      <c r="BI8" s="11"/>
      <c r="BJ8" s="11"/>
      <c r="BK8" s="11"/>
      <c r="BL8" s="11"/>
      <c r="BM8" s="11"/>
      <c r="BN8" s="11"/>
      <c r="BO8" s="11"/>
      <c r="BP8" s="11" t="n">
        <v>1682.98476336921</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87.6506423572419</v>
      </c>
      <c r="AI10" s="11" t="n">
        <v>87.9661491234385</v>
      </c>
      <c r="AJ10" s="11" t="n">
        <v>92.9532506574566</v>
      </c>
      <c r="AK10" s="11" t="n">
        <v>78.6740673305288</v>
      </c>
      <c r="AL10" s="11" t="n">
        <v>74.0601097199175</v>
      </c>
      <c r="AM10" s="11" t="n">
        <v>76.8964500445979</v>
      </c>
      <c r="AN10" s="11" t="n">
        <v>79.8848919496206</v>
      </c>
      <c r="AO10" s="11" t="n">
        <v>79.6109907998274</v>
      </c>
      <c r="AP10" s="11" t="n">
        <v>79.3724706633451</v>
      </c>
      <c r="AQ10" s="11" t="n">
        <v>79.0046517626597</v>
      </c>
      <c r="AR10" s="11" t="n">
        <v>78.9798546979437</v>
      </c>
      <c r="AS10" s="11" t="n">
        <v>78.7199215221356</v>
      </c>
      <c r="AT10" s="11" t="n">
        <v>78.6153484960173</v>
      </c>
      <c r="AU10" s="11" t="n">
        <v>78.5111102826907</v>
      </c>
      <c r="AV10" s="11" t="n">
        <v>78.4564800625015</v>
      </c>
      <c r="AW10" s="11" t="n">
        <v>78.4220138942835</v>
      </c>
      <c r="AX10" s="11" t="n">
        <v>78.4315658181055</v>
      </c>
      <c r="AY10" s="11" t="n">
        <v>78.8199909523177</v>
      </c>
      <c r="AZ10" s="11" t="n">
        <v>78.8813717035824</v>
      </c>
      <c r="BA10" s="11" t="n">
        <v>79.052588279314</v>
      </c>
      <c r="BB10" s="11" t="n">
        <v>79.2348462943462</v>
      </c>
      <c r="BC10" s="11" t="n">
        <v>79.459347238311</v>
      </c>
      <c r="BD10" s="11" t="n">
        <v>79.7681027336953</v>
      </c>
      <c r="BE10" s="11" t="n">
        <v>79.9205767097462</v>
      </c>
      <c r="BF10" s="11" t="n">
        <v>80.0068255810876</v>
      </c>
      <c r="BG10" s="11" t="n">
        <v>80.2897010062346</v>
      </c>
      <c r="BH10" s="11" t="n">
        <v>80.2345048380256</v>
      </c>
      <c r="BI10" s="11" t="n">
        <v>80.2797421858503</v>
      </c>
      <c r="BJ10" s="11" t="n">
        <v>80.4678882949101</v>
      </c>
      <c r="BK10" s="11" t="n">
        <v>80.4723234119563</v>
      </c>
      <c r="BL10" s="11" t="n">
        <v>80.3955423388961</v>
      </c>
      <c r="BM10" s="11" t="n">
        <v>80.3133404760564</v>
      </c>
      <c r="BN10" s="11" t="n">
        <v>389.824913177309</v>
      </c>
      <c r="BO10" s="11" t="n">
        <v>393.830886761447</v>
      </c>
      <c r="BP10" s="11" t="n">
        <v>393.011422430791</v>
      </c>
      <c r="BQ10" s="11" t="n">
        <v>397.435461255413</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115.06236451121</v>
      </c>
      <c r="AO11" s="11" t="n">
        <v>112.226316327361</v>
      </c>
      <c r="AP11" s="11" t="n">
        <v>109.18306927362</v>
      </c>
      <c r="AQ11" s="11" t="n">
        <v>104.811464288173</v>
      </c>
      <c r="AR11" s="11" t="n">
        <v>99.5995402707767</v>
      </c>
      <c r="AS11" s="11" t="n">
        <v>93.3819368351484</v>
      </c>
      <c r="AT11" s="11" t="n">
        <v>87.6782525911057</v>
      </c>
      <c r="AU11" s="11" t="n">
        <v>82.4022474893259</v>
      </c>
      <c r="AV11" s="11" t="n">
        <v>77.8416576860439</v>
      </c>
      <c r="AW11" s="11" t="n">
        <v>73.7734711227644</v>
      </c>
      <c r="AX11" s="11" t="n">
        <v>70.2188386849134</v>
      </c>
      <c r="AY11" s="11" t="n">
        <v>66.9982274232095</v>
      </c>
      <c r="AZ11" s="11" t="n">
        <v>64.1051346066926</v>
      </c>
      <c r="BA11" s="11" t="n">
        <v>61.5479333662691</v>
      </c>
      <c r="BB11" s="11" t="n">
        <v>59.3454338161831</v>
      </c>
      <c r="BC11" s="11" t="n">
        <v>57.3352418812437</v>
      </c>
      <c r="BD11" s="11" t="n">
        <v>55.6568174992202</v>
      </c>
      <c r="BE11" s="11" t="n">
        <v>54.1788893700035</v>
      </c>
      <c r="BF11" s="11" t="n">
        <v>53.0050550062005</v>
      </c>
      <c r="BG11" s="11" t="n">
        <v>51.9750335456163</v>
      </c>
      <c r="BH11" s="11" t="n">
        <v>51.100135620072</v>
      </c>
      <c r="BI11" s="11" t="n">
        <v>50.4199792763911</v>
      </c>
      <c r="BJ11" s="11" t="n">
        <v>49.8282657355036</v>
      </c>
      <c r="BK11" s="11" t="n">
        <v>49.4695751583437</v>
      </c>
      <c r="BL11" s="11" t="n">
        <v>49.1122524132664</v>
      </c>
      <c r="BM11" s="11" t="n">
        <v>48.8260269136994</v>
      </c>
      <c r="BN11" s="11" t="n">
        <v>557.739377380531</v>
      </c>
      <c r="BO11" s="11" t="n">
        <v>467.87344147453</v>
      </c>
      <c r="BP11" s="11" t="n">
        <v>352.937329523624</v>
      </c>
      <c r="BQ11" s="11" t="n">
        <v>288.06431593292</v>
      </c>
    </row>
    <row r="12" customFormat="false" ht="13.8" hidden="false" customHeight="false" outlineLevel="0" collapsed="false">
      <c r="A12" s="11" t="s">
        <v>137</v>
      </c>
      <c r="B12" s="11" t="s">
        <v>147</v>
      </c>
      <c r="C12" s="11" t="s">
        <v>139</v>
      </c>
      <c r="D12" s="12"/>
      <c r="E12" s="11" t="n">
        <v>14.7877929691883</v>
      </c>
      <c r="F12" s="11" t="n">
        <v>15.1074685752626</v>
      </c>
      <c r="G12" s="11" t="n">
        <v>15.048263855421</v>
      </c>
      <c r="H12" s="11" t="n">
        <v>15.4393606194209</v>
      </c>
      <c r="I12" s="11" t="n">
        <v>16.2460055865244</v>
      </c>
      <c r="J12" s="11" t="n">
        <v>17.3106292243496</v>
      </c>
      <c r="K12" s="11" t="n">
        <v>18.0794444117165</v>
      </c>
      <c r="L12" s="11" t="n">
        <v>19.7762861133536</v>
      </c>
      <c r="M12" s="11" t="n">
        <v>16.7045015612936</v>
      </c>
      <c r="N12" s="11" t="n">
        <v>9.90829358971171</v>
      </c>
      <c r="O12" s="11" t="n">
        <v>8.74166413230262</v>
      </c>
      <c r="P12" s="11" t="n">
        <v>8.96060646846771</v>
      </c>
      <c r="Q12" s="11" t="n">
        <v>9.34796390566103</v>
      </c>
      <c r="R12" s="11" t="n">
        <v>9.91148119417866</v>
      </c>
      <c r="S12" s="11" t="n">
        <v>8.89494250946247</v>
      </c>
      <c r="T12" s="11" t="n">
        <v>9.5209712784328</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9.68541080398269</v>
      </c>
      <c r="AI12" s="11" t="n">
        <v>8.74353063685975</v>
      </c>
      <c r="AJ12" s="11" t="n">
        <v>8.16632698358806</v>
      </c>
      <c r="AK12" s="11" t="n">
        <v>7.55416736500505</v>
      </c>
      <c r="AL12" s="11" t="n">
        <v>7.04466698153908</v>
      </c>
      <c r="AM12" s="11" t="n">
        <v>6.61216432469942</v>
      </c>
      <c r="AN12" s="11" t="n">
        <v>6.26198481466507</v>
      </c>
      <c r="AO12" s="11" t="n">
        <v>5.9345486980428</v>
      </c>
      <c r="AP12" s="11" t="n">
        <v>5.62528837859824</v>
      </c>
      <c r="AQ12" s="11" t="n">
        <v>5.326849896076</v>
      </c>
      <c r="AR12" s="11" t="n">
        <v>5.05583262880687</v>
      </c>
      <c r="AS12" s="11" t="n">
        <v>4.82194424780008</v>
      </c>
      <c r="AT12" s="11" t="n">
        <v>4.61366583925396</v>
      </c>
      <c r="AU12" s="11" t="n">
        <v>4.41350101904454</v>
      </c>
      <c r="AV12" s="11" t="n">
        <v>4.23790151027039</v>
      </c>
      <c r="AW12" s="11" t="n">
        <v>4.07510202245846</v>
      </c>
      <c r="AX12" s="11" t="n">
        <v>3.92752251100253</v>
      </c>
      <c r="AY12" s="11" t="n">
        <v>3.79332865207698</v>
      </c>
      <c r="AZ12" s="11" t="n">
        <v>3.68721875777365</v>
      </c>
      <c r="BA12" s="11" t="n">
        <v>3.60898213485854</v>
      </c>
      <c r="BB12" s="11" t="n">
        <v>3.57479384362746</v>
      </c>
      <c r="BC12" s="11" t="n">
        <v>3.56291385672629</v>
      </c>
      <c r="BD12" s="11" t="n">
        <v>3.56542120647121</v>
      </c>
      <c r="BE12" s="11" t="n">
        <v>3.58036938460624</v>
      </c>
      <c r="BF12" s="11" t="n">
        <v>3.6048385694218</v>
      </c>
      <c r="BG12" s="11" t="n">
        <v>3.63707830122404</v>
      </c>
      <c r="BH12" s="11" t="n">
        <v>3.67524677841862</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60.1841046564571</v>
      </c>
      <c r="H13" s="11" t="n">
        <v>58.9674567061176</v>
      </c>
      <c r="I13" s="11" t="n">
        <v>51.9755160115748</v>
      </c>
      <c r="J13" s="11" t="n">
        <v>54.6368157177593</v>
      </c>
      <c r="K13" s="11" t="n">
        <v>53.9628451509152</v>
      </c>
      <c r="L13" s="11" t="n">
        <v>52.19875606945</v>
      </c>
      <c r="M13" s="11" t="n">
        <v>51.0085474737028</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17.9682740212774</v>
      </c>
      <c r="AO13" s="11" t="n">
        <v>17.1076589888663</v>
      </c>
      <c r="AP13" s="11" t="n">
        <v>16.5641799118225</v>
      </c>
      <c r="AQ13" s="11" t="n">
        <v>15.9308958643442</v>
      </c>
      <c r="AR13" s="11" t="n">
        <v>15.3025355278969</v>
      </c>
      <c r="AS13" s="11" t="n">
        <v>14.3826176920506</v>
      </c>
      <c r="AT13" s="11" t="n">
        <v>13.3521080139804</v>
      </c>
      <c r="AU13" s="11" t="n">
        <v>12.8480738710773</v>
      </c>
      <c r="AV13" s="11" t="n">
        <v>12.0754568768774</v>
      </c>
      <c r="AW13" s="11" t="n">
        <v>11.9164722983849</v>
      </c>
      <c r="AX13" s="11" t="n">
        <v>11.7105354469813</v>
      </c>
      <c r="AY13" s="11" t="n">
        <v>9.95384909742838</v>
      </c>
      <c r="AZ13" s="11" t="n">
        <v>9.6580838861243</v>
      </c>
      <c r="BA13" s="11" t="n">
        <v>9.28989582383557</v>
      </c>
      <c r="BB13" s="11" t="n">
        <v>8.63030921532794</v>
      </c>
      <c r="BC13" s="11" t="n">
        <v>8.4181627482345</v>
      </c>
      <c r="BD13" s="11" t="n">
        <v>7.20668693109373</v>
      </c>
      <c r="BE13" s="11" t="n">
        <v>6.45490095751888</v>
      </c>
      <c r="BF13" s="11" t="n">
        <v>6.20705217410405</v>
      </c>
      <c r="BG13" s="11" t="n">
        <v>6.20024907424488</v>
      </c>
      <c r="BH13" s="11" t="n">
        <v>6.18517782483483</v>
      </c>
      <c r="BI13" s="11" t="n">
        <v>6.18958194038067</v>
      </c>
      <c r="BJ13" s="11" t="n">
        <v>6.17371158460283</v>
      </c>
      <c r="BK13" s="11" t="n">
        <v>5.87930670286175</v>
      </c>
      <c r="BL13" s="11" t="n">
        <v>5.54783759473122</v>
      </c>
      <c r="BM13" s="11" t="n">
        <v>5.40303349302193</v>
      </c>
      <c r="BN13" s="11" t="n">
        <v>88.6581983555081</v>
      </c>
      <c r="BO13" s="11" t="n">
        <v>71.8162309693495</v>
      </c>
      <c r="BP13" s="11" t="n">
        <v>55.3143976057962</v>
      </c>
      <c r="BQ13" s="11" t="n">
        <v>39.9999556760106</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54.4634888475166</v>
      </c>
      <c r="AN14" s="11" t="n">
        <v>52.4018409608815</v>
      </c>
      <c r="AO14" s="11" t="n">
        <v>51.4515300441464</v>
      </c>
      <c r="AP14" s="11" t="n">
        <v>51.1838835981036</v>
      </c>
      <c r="AQ14" s="11" t="n">
        <v>50.748400859835</v>
      </c>
      <c r="AR14" s="11" t="n">
        <v>50.3441123593968</v>
      </c>
      <c r="AS14" s="11" t="n">
        <v>49.9397549628046</v>
      </c>
      <c r="AT14" s="11" t="n">
        <v>49.5390901055505</v>
      </c>
      <c r="AU14" s="11" t="n">
        <v>49.3229262754978</v>
      </c>
      <c r="AV14" s="11" t="n">
        <v>49.1699642342169</v>
      </c>
      <c r="AW14" s="11" t="n">
        <v>48.7388922976321</v>
      </c>
      <c r="AX14" s="11" t="n">
        <v>48.4798943474047</v>
      </c>
      <c r="AY14" s="11" t="n">
        <v>48.2487461755987</v>
      </c>
      <c r="AZ14" s="11" t="n">
        <v>48.2910612489942</v>
      </c>
      <c r="BA14" s="11" t="n">
        <v>48.2585074259413</v>
      </c>
      <c r="BB14" s="11" t="n">
        <v>48.2716372434119</v>
      </c>
      <c r="BC14" s="11" t="n">
        <v>48.7222712150688</v>
      </c>
      <c r="BD14" s="11" t="n">
        <v>49.4587912437933</v>
      </c>
      <c r="BE14" s="11" t="n">
        <v>49.6632916849166</v>
      </c>
      <c r="BF14" s="11" t="n">
        <v>49.936856169144</v>
      </c>
      <c r="BG14" s="11" t="n">
        <v>50.1087153250909</v>
      </c>
      <c r="BH14" s="11" t="n">
        <v>50.4506226625737</v>
      </c>
      <c r="BI14" s="11" t="n">
        <v>50.8715721699878</v>
      </c>
      <c r="BJ14" s="11" t="n">
        <v>51.2331503632287</v>
      </c>
      <c r="BK14" s="11" t="n">
        <v>51.6474272632516</v>
      </c>
      <c r="BL14" s="11" t="n">
        <v>52.00457539044</v>
      </c>
      <c r="BM14" s="11" t="n">
        <v>52.3689842419076</v>
      </c>
      <c r="BN14" s="11" t="n">
        <v>273.588258959614</v>
      </c>
      <c r="BO14" s="11" t="n">
        <v>249.894284563085</v>
      </c>
      <c r="BP14" s="11" t="n">
        <v>242.928558303847</v>
      </c>
      <c r="BQ14" s="11" t="n">
        <v>244.374498813132</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7.29888881565863</v>
      </c>
      <c r="L15" s="11" t="n">
        <v>6.74965008724044</v>
      </c>
      <c r="M15" s="11" t="n">
        <v>5.96165299469253</v>
      </c>
      <c r="N15" s="11" t="n">
        <v>6.07622611866308</v>
      </c>
      <c r="O15" s="11" t="n">
        <v>5.8165000617974</v>
      </c>
      <c r="P15" s="11" t="n">
        <v>5.17351914195232</v>
      </c>
      <c r="Q15" s="11" t="n">
        <v>4.3457864800215</v>
      </c>
      <c r="R15" s="11" t="n">
        <v>4.18559867581597</v>
      </c>
      <c r="S15" s="11" t="n">
        <v>3.32599036920681</v>
      </c>
      <c r="T15" s="11" t="n">
        <v>2.9562338693275</v>
      </c>
      <c r="U15" s="11" t="n">
        <v>2.53705519258907</v>
      </c>
      <c r="V15" s="11" t="n">
        <v>1.91003713291075</v>
      </c>
      <c r="W15" s="11" t="n">
        <v>1.22774903416888</v>
      </c>
      <c r="X15" s="11" t="n">
        <v>1.13558384043056</v>
      </c>
      <c r="Y15" s="11" t="n">
        <v>1.05006812917393</v>
      </c>
      <c r="Z15" s="11" t="n">
        <v>0.403891460082564</v>
      </c>
      <c r="AA15" s="11" t="n">
        <v>0.505346373580899</v>
      </c>
      <c r="AB15" s="11" t="n">
        <v>0.398968456201681</v>
      </c>
      <c r="AC15" s="11" t="n">
        <v>0.0720308545919073</v>
      </c>
      <c r="AD15" s="11" t="n">
        <v>-0.0617161466723142</v>
      </c>
      <c r="AE15" s="11" t="n">
        <v>0.295045210907603</v>
      </c>
      <c r="AF15" s="11" t="n">
        <v>0.0212098248235195</v>
      </c>
      <c r="AG15" s="11" t="n">
        <v>0.684754591408554</v>
      </c>
      <c r="AH15" s="11" t="n">
        <v>0.551649018647838</v>
      </c>
      <c r="AI15" s="11" t="n">
        <v>0.401275637288966</v>
      </c>
      <c r="AJ15" s="11" t="n">
        <v>0.235021339974388</v>
      </c>
      <c r="AK15" s="11" t="n">
        <v>0.541752124764709</v>
      </c>
      <c r="AL15" s="11" t="n">
        <v>1.11971398879782</v>
      </c>
      <c r="AM15" s="11" t="n">
        <v>0.772473937745446</v>
      </c>
      <c r="AN15" s="11" t="n">
        <v>0.85338772111931</v>
      </c>
      <c r="AO15" s="11" t="n">
        <v>0.941803891439629</v>
      </c>
      <c r="AP15" s="11" t="n">
        <v>1.05249354242531</v>
      </c>
      <c r="AQ15" s="11" t="n">
        <v>1.03922145167634</v>
      </c>
      <c r="AR15" s="11" t="n">
        <v>1.18494290131125</v>
      </c>
      <c r="AS15" s="11" t="n">
        <v>1.33687784699157</v>
      </c>
      <c r="AT15" s="11" t="n">
        <v>1.59385231293396</v>
      </c>
      <c r="AU15" s="11" t="n">
        <v>1.8600063221481</v>
      </c>
      <c r="AV15" s="11" t="n">
        <v>2.18002045240814</v>
      </c>
      <c r="AW15" s="11" t="n">
        <v>2.52245540334349</v>
      </c>
      <c r="AX15" s="11" t="n">
        <v>2.86269668185091</v>
      </c>
      <c r="AY15" s="11" t="n">
        <v>3.1910595289671</v>
      </c>
      <c r="AZ15" s="11" t="n">
        <v>3.48110002502241</v>
      </c>
      <c r="BA15" s="11" t="n">
        <v>3.70278702304934</v>
      </c>
      <c r="BB15" s="11" t="n">
        <v>3.92197933803403</v>
      </c>
      <c r="BC15" s="11" t="n">
        <v>4.10534913163693</v>
      </c>
      <c r="BD15" s="11" t="n">
        <v>4.29487024454034</v>
      </c>
      <c r="BE15" s="11" t="n">
        <v>4.41276908506391</v>
      </c>
      <c r="BF15" s="11" t="n">
        <v>4.48241621455591</v>
      </c>
      <c r="BG15" s="11" t="n">
        <v>4.51963787513381</v>
      </c>
      <c r="BH15" s="11" t="n">
        <v>4.51963829708352</v>
      </c>
      <c r="BI15" s="11" t="n">
        <v>4.54417530675067</v>
      </c>
      <c r="BJ15" s="11" t="n">
        <v>4.5413256061281</v>
      </c>
      <c r="BK15" s="11" t="n">
        <v>4.4904485985796</v>
      </c>
      <c r="BL15" s="11" t="n">
        <v>4.432307529618</v>
      </c>
      <c r="BM15" s="11" t="n">
        <v>4.35862189668962</v>
      </c>
      <c r="BN15" s="11" t="n">
        <v>4.73987308152751</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38.722355501135</v>
      </c>
      <c r="AN16" s="11" t="n">
        <v>26.8185269549843</v>
      </c>
      <c r="AO16" s="11" t="n">
        <v>24.4166625419206</v>
      </c>
      <c r="AP16" s="11" t="n">
        <v>21.8110340014993</v>
      </c>
      <c r="AQ16" s="11" t="n">
        <v>20.9837961443094</v>
      </c>
      <c r="AR16" s="11" t="n">
        <v>21.2240173702778</v>
      </c>
      <c r="AS16" s="11" t="n">
        <v>23.1706520000117</v>
      </c>
      <c r="AT16" s="11" t="n">
        <v>23.6675532761547</v>
      </c>
      <c r="AU16" s="11" t="n">
        <v>24.5768593124654</v>
      </c>
      <c r="AV16" s="11" t="n">
        <v>25.8210380134921</v>
      </c>
      <c r="AW16" s="11" t="n">
        <v>27.0162822483984</v>
      </c>
      <c r="AX16" s="11" t="n">
        <v>27.9273428434875</v>
      </c>
      <c r="AY16" s="11" t="n">
        <v>26.8908355607994</v>
      </c>
      <c r="AZ16" s="11" t="n">
        <v>26.7432356066208</v>
      </c>
      <c r="BA16" s="11" t="n">
        <v>26.8000132260982</v>
      </c>
      <c r="BB16" s="11" t="n">
        <v>26.9710263451304</v>
      </c>
      <c r="BC16" s="11" t="n">
        <v>27.304640043372</v>
      </c>
      <c r="BD16" s="11" t="n">
        <v>28.2943051933904</v>
      </c>
      <c r="BE16" s="11" t="n">
        <v>29.649059602331</v>
      </c>
      <c r="BF16" s="11" t="n">
        <v>30.6751917749927</v>
      </c>
      <c r="BG16" s="11" t="n">
        <v>31.7241822420633</v>
      </c>
      <c r="BH16" s="11" t="n">
        <v>32.0705638436799</v>
      </c>
      <c r="BI16" s="11" t="n">
        <v>33.0671246580818</v>
      </c>
      <c r="BJ16" s="11" t="n">
        <v>34.0040651459499</v>
      </c>
      <c r="BK16" s="11" t="n">
        <v>35.8853352054754</v>
      </c>
      <c r="BL16" s="11" t="n">
        <v>36.6669204630004</v>
      </c>
      <c r="BM16" s="11" t="n">
        <v>36.0862692634729</v>
      </c>
      <c r="BN16" s="11" t="n">
        <v>155.702075768681</v>
      </c>
      <c r="BO16" s="11" t="n">
        <v>113.622878103219</v>
      </c>
      <c r="BP16" s="11" t="n">
        <v>134.398734272798</v>
      </c>
      <c r="BQ16" s="11" t="n">
        <v>139.019044410322</v>
      </c>
    </row>
    <row r="17" customFormat="false" ht="13.8" hidden="false" customHeight="false" outlineLevel="0" collapsed="false">
      <c r="A17" s="11" t="s">
        <v>137</v>
      </c>
      <c r="B17" s="11" t="s">
        <v>152</v>
      </c>
      <c r="C17" s="11" t="s">
        <v>139</v>
      </c>
      <c r="D17" s="12"/>
      <c r="E17" s="11" t="n">
        <v>70.0972561713185</v>
      </c>
      <c r="F17" s="11" t="n">
        <v>70.9694415618387</v>
      </c>
      <c r="G17" s="11" t="n">
        <v>71.132294619585</v>
      </c>
      <c r="H17" s="11" t="n">
        <v>71.8122172910779</v>
      </c>
      <c r="I17" s="11" t="n">
        <v>72.2957485820843</v>
      </c>
      <c r="J17" s="11" t="n">
        <v>73.0157977582614</v>
      </c>
      <c r="K17" s="11" t="n">
        <v>73.6646952887652</v>
      </c>
      <c r="L17" s="11" t="n">
        <v>73.2585135370301</v>
      </c>
      <c r="M17" s="11" t="n">
        <v>72.857866554095</v>
      </c>
      <c r="N17" s="11" t="n">
        <v>70.3376634874946</v>
      </c>
      <c r="O17" s="11" t="n">
        <v>67.5493303656442</v>
      </c>
      <c r="P17" s="11" t="n">
        <v>65.2372960190355</v>
      </c>
      <c r="Q17" s="11" t="n">
        <v>64.7778902640439</v>
      </c>
      <c r="R17" s="11" t="n">
        <v>61.3375599734718</v>
      </c>
      <c r="S17" s="11" t="n">
        <v>56.672189154327</v>
      </c>
      <c r="T17" s="11" t="n">
        <v>54.4072424596031</v>
      </c>
      <c r="U17" s="11" t="n">
        <v>52.4213760930319</v>
      </c>
      <c r="V17" s="11" t="n">
        <v>48.8156230762384</v>
      </c>
      <c r="W17" s="11" t="n">
        <v>43.9393870887183</v>
      </c>
      <c r="X17" s="11" t="n">
        <v>39.8636352384587</v>
      </c>
      <c r="Y17" s="11" t="n">
        <v>34.6261847227992</v>
      </c>
      <c r="Z17" s="11" t="n">
        <v>32.3276483620429</v>
      </c>
      <c r="AA17" s="11" t="n">
        <v>30.6018352790237</v>
      </c>
      <c r="AB17" s="11" t="n">
        <v>27.2165028540719</v>
      </c>
      <c r="AC17" s="11" t="n">
        <v>24.7648403332128</v>
      </c>
      <c r="AD17" s="11" t="n">
        <v>23.9395272811453</v>
      </c>
      <c r="AE17" s="11" t="n">
        <v>22.7629858056435</v>
      </c>
      <c r="AF17" s="11" t="n">
        <v>23.1009316290312</v>
      </c>
      <c r="AG17" s="11" t="n">
        <v>22.9437825900192</v>
      </c>
      <c r="AH17" s="11" t="n">
        <v>22.4612195704563</v>
      </c>
      <c r="AI17" s="11" t="n">
        <v>20.9554957607479</v>
      </c>
      <c r="AJ17" s="11" t="n">
        <v>19.8902591743334</v>
      </c>
      <c r="AK17" s="11" t="n">
        <v>19.7926657409702</v>
      </c>
      <c r="AL17" s="11" t="n">
        <v>19.6853537342984</v>
      </c>
      <c r="AM17" s="11" t="n">
        <v>18.8578119235528</v>
      </c>
      <c r="AN17" s="11" t="n">
        <v>18.4909497183457</v>
      </c>
      <c r="AO17" s="11" t="n">
        <v>18.0743866765582</v>
      </c>
      <c r="AP17" s="11" t="n">
        <v>18.3867932194325</v>
      </c>
      <c r="AQ17" s="11" t="n">
        <v>17.415548219961</v>
      </c>
      <c r="AR17" s="11" t="n">
        <v>16.5614517798263</v>
      </c>
      <c r="AS17" s="11" t="n">
        <v>15.7571239965547</v>
      </c>
      <c r="AT17" s="11" t="n">
        <v>15.0464164744527</v>
      </c>
      <c r="AU17" s="11" t="n">
        <v>14.4193129434863</v>
      </c>
      <c r="AV17" s="11" t="n">
        <v>13.8675624991065</v>
      </c>
      <c r="AW17" s="11" t="n">
        <v>13.3857901447412</v>
      </c>
      <c r="AX17" s="11" t="n">
        <v>12.9662325038224</v>
      </c>
      <c r="AY17" s="11" t="n">
        <v>12.6009454314573</v>
      </c>
      <c r="AZ17" s="11" t="n">
        <v>12.2821464538741</v>
      </c>
      <c r="BA17" s="11" t="n">
        <v>12.0057348341887</v>
      </c>
      <c r="BB17" s="11" t="n">
        <v>11.7679529393042</v>
      </c>
      <c r="BC17" s="11" t="n">
        <v>11.5657370193379</v>
      </c>
      <c r="BD17" s="11" t="n">
        <v>11.4522865372673</v>
      </c>
      <c r="BE17" s="11" t="n">
        <v>11.3683591498676</v>
      </c>
      <c r="BF17" s="11" t="n">
        <v>11.3114992126857</v>
      </c>
      <c r="BG17" s="11" t="n">
        <v>11.2794735223215</v>
      </c>
      <c r="BH17" s="11" t="n">
        <v>11.2710118206388</v>
      </c>
      <c r="BI17" s="11" t="n">
        <v>11.2828084467178</v>
      </c>
      <c r="BJ17" s="11" t="n">
        <v>11.3130074581611</v>
      </c>
      <c r="BK17" s="11" t="n">
        <v>11.3600862871595</v>
      </c>
      <c r="BL17" s="11" t="n">
        <v>11.4228448054899</v>
      </c>
      <c r="BM17" s="11" t="n">
        <v>11.5001757254339</v>
      </c>
      <c r="BN17" s="11" t="n">
        <v>93.4952952721876</v>
      </c>
      <c r="BO17" s="11" t="n">
        <v>79.1998534142811</v>
      </c>
      <c r="BP17" s="11" t="n">
        <v>65.1026770330016</v>
      </c>
      <c r="BQ17" s="11" t="n">
        <v>58.1600704799657</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42.6138672306617</v>
      </c>
      <c r="AO18" s="11" t="n">
        <v>42.0380676233539</v>
      </c>
      <c r="AP18" s="11" t="n">
        <v>41.8007729157292</v>
      </c>
      <c r="AQ18" s="11" t="n">
        <v>40.7976454153709</v>
      </c>
      <c r="AR18" s="11" t="n">
        <v>40.9829948214137</v>
      </c>
      <c r="AS18" s="11" t="n">
        <v>39.9141982727358</v>
      </c>
      <c r="AT18" s="11" t="n">
        <v>39.7757368260737</v>
      </c>
      <c r="AU18" s="11" t="n">
        <v>39.3605126337015</v>
      </c>
      <c r="AV18" s="11" t="n">
        <v>38.6084119664369</v>
      </c>
      <c r="AW18" s="11" t="n">
        <v>38.0352799014719</v>
      </c>
      <c r="AX18" s="11" t="n">
        <v>37.7691062702715</v>
      </c>
      <c r="AY18" s="11" t="n">
        <v>37.111159029794</v>
      </c>
      <c r="AZ18" s="11" t="n">
        <v>36.2964246687939</v>
      </c>
      <c r="BA18" s="11" t="n">
        <v>36.05899897391</v>
      </c>
      <c r="BB18" s="11" t="n">
        <v>36.0166953823249</v>
      </c>
      <c r="BC18" s="11" t="n">
        <v>35.6715605500502</v>
      </c>
      <c r="BD18" s="11" t="n">
        <v>36.0800805153695</v>
      </c>
      <c r="BE18" s="11" t="n">
        <v>36.5385194393307</v>
      </c>
      <c r="BF18" s="11" t="n">
        <v>36.4056780198845</v>
      </c>
      <c r="BG18" s="11" t="n">
        <v>36.0505969132246</v>
      </c>
      <c r="BH18" s="11" t="n">
        <v>35.5424189335256</v>
      </c>
      <c r="BI18" s="11" t="n">
        <v>35.009331184326</v>
      </c>
      <c r="BJ18" s="11" t="n">
        <v>34.2649456851799</v>
      </c>
      <c r="BK18" s="11" t="n">
        <v>34.3932342203921</v>
      </c>
      <c r="BL18" s="11" t="n">
        <v>33.2560713995856</v>
      </c>
      <c r="BM18" s="11" t="n">
        <v>32.6656975147085</v>
      </c>
      <c r="BN18" s="11" t="n">
        <v>208.258639773128</v>
      </c>
      <c r="BO18" s="11" t="n">
        <v>200.831087969296</v>
      </c>
      <c r="BP18" s="11" t="n">
        <v>187.820381836768</v>
      </c>
      <c r="BQ18" s="11" t="n">
        <v>180.365854860985</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333.205764375449</v>
      </c>
      <c r="AN19" s="11" t="n">
        <v>325.829975935978</v>
      </c>
      <c r="AO19" s="11" t="n">
        <v>318.127156669806</v>
      </c>
      <c r="AP19" s="11" t="n">
        <v>311.439185709885</v>
      </c>
      <c r="AQ19" s="11" t="n">
        <v>304.100782505914</v>
      </c>
      <c r="AR19" s="11" t="n">
        <v>298.498490876739</v>
      </c>
      <c r="AS19" s="11" t="n">
        <v>291.904004381038</v>
      </c>
      <c r="AT19" s="11" t="n">
        <v>285.420976437835</v>
      </c>
      <c r="AU19" s="11" t="n">
        <v>280.323689444841</v>
      </c>
      <c r="AV19" s="11" t="n">
        <v>275.755829424077</v>
      </c>
      <c r="AW19" s="11" t="n">
        <v>272.109195833422</v>
      </c>
      <c r="AX19" s="11" t="n">
        <v>269.244613436647</v>
      </c>
      <c r="AY19" s="11" t="n">
        <v>263.226921926768</v>
      </c>
      <c r="AZ19" s="11" t="n">
        <v>259.717411212273</v>
      </c>
      <c r="BA19" s="11" t="n">
        <v>257.025747860754</v>
      </c>
      <c r="BB19" s="11" t="n">
        <v>254.779068268919</v>
      </c>
      <c r="BC19" s="11" t="n">
        <v>253.465227453337</v>
      </c>
      <c r="BD19" s="11" t="n">
        <v>253.374063754226</v>
      </c>
      <c r="BE19" s="11" t="n">
        <v>253.55191876407</v>
      </c>
      <c r="BF19" s="11" t="n">
        <v>253.484583174075</v>
      </c>
      <c r="BG19" s="11" t="n">
        <v>253.674291124752</v>
      </c>
      <c r="BH19" s="11" t="n">
        <v>252.946311669801</v>
      </c>
      <c r="BI19" s="11" t="n">
        <v>253.258400397893</v>
      </c>
      <c r="BJ19" s="11" t="n">
        <v>253.436766359481</v>
      </c>
      <c r="BK19" s="11" t="n">
        <v>255.192072344371</v>
      </c>
      <c r="BL19" s="11" t="n">
        <v>254.399175181116</v>
      </c>
      <c r="BM19" s="11" t="n">
        <v>253.022455392644</v>
      </c>
      <c r="BN19" s="11" t="n">
        <v>1630.53623122037</v>
      </c>
      <c r="BO19" s="11" t="n">
        <v>1460.24794364637</v>
      </c>
      <c r="BP19" s="11" t="n">
        <v>1340.05397183319</v>
      </c>
      <c r="BQ19" s="11" t="n">
        <v>1272.19602610131</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141.138614388231</v>
      </c>
      <c r="L20" s="11" t="n">
        <v>138.524436182827</v>
      </c>
      <c r="M20" s="11" t="n">
        <v>135.462212228555</v>
      </c>
      <c r="N20" s="11" t="n">
        <v>129.859065263225</v>
      </c>
      <c r="O20" s="11" t="n">
        <v>123.920486839629</v>
      </c>
      <c r="P20" s="11" t="n">
        <v>118.64001130189</v>
      </c>
      <c r="Q20" s="11" t="n">
        <v>116.77678020067</v>
      </c>
      <c r="R20" s="11" t="n">
        <v>111.853160224235</v>
      </c>
      <c r="S20" s="11" t="n">
        <v>107.03393682204</v>
      </c>
      <c r="T20" s="11" t="n">
        <v>102.664117491926</v>
      </c>
      <c r="U20" s="11" t="n">
        <v>99.2297893209561</v>
      </c>
      <c r="V20" s="11" t="n">
        <v>94.775315317842</v>
      </c>
      <c r="W20" s="11" t="n">
        <v>88.4981359307023</v>
      </c>
      <c r="X20" s="11" t="n">
        <v>83.9244036183387</v>
      </c>
      <c r="Y20" s="11" t="n">
        <v>78.667322755185</v>
      </c>
      <c r="Z20" s="11" t="n">
        <v>75.6712751364844</v>
      </c>
      <c r="AA20" s="11" t="n">
        <v>73.8280122064821</v>
      </c>
      <c r="AB20" s="11" t="n">
        <v>68.980177011707</v>
      </c>
      <c r="AC20" s="11" t="n">
        <v>66.6821086932931</v>
      </c>
      <c r="AD20" s="11" t="n">
        <v>65.4783580021182</v>
      </c>
      <c r="AE20" s="11" t="n">
        <v>63.0801894570004</v>
      </c>
      <c r="AF20" s="11" t="n">
        <v>63.35861040571</v>
      </c>
      <c r="AG20" s="11" t="n">
        <v>62.7602337118584</v>
      </c>
      <c r="AH20" s="11" t="n">
        <v>62.4134940187284</v>
      </c>
      <c r="AI20" s="11" t="n">
        <v>59.9984424095153</v>
      </c>
      <c r="AJ20" s="11" t="n">
        <v>58.7276734594613</v>
      </c>
      <c r="AK20" s="11" t="n">
        <v>58.0898467243932</v>
      </c>
      <c r="AL20" s="11" t="n">
        <v>57.0200585910277</v>
      </c>
      <c r="AM20" s="11" t="n">
        <v>55.5172727235413</v>
      </c>
      <c r="AN20" s="11" t="n">
        <v>54.6854878008024</v>
      </c>
      <c r="AO20" s="11" t="n">
        <v>54.0079948075884</v>
      </c>
      <c r="AP20" s="11" t="n">
        <v>54.1406393217066</v>
      </c>
      <c r="AQ20" s="11" t="n">
        <v>52.9273727374203</v>
      </c>
      <c r="AR20" s="11" t="n">
        <v>51.926517906694</v>
      </c>
      <c r="AS20" s="11" t="n">
        <v>50.9092530057285</v>
      </c>
      <c r="AT20" s="11" t="n">
        <v>49.966342224468</v>
      </c>
      <c r="AU20" s="11" t="n">
        <v>49.0295898646872</v>
      </c>
      <c r="AV20" s="11" t="n">
        <v>48.1778975949342</v>
      </c>
      <c r="AW20" s="11" t="n">
        <v>47.4427057765163</v>
      </c>
      <c r="AX20" s="11" t="n">
        <v>46.7170421168775</v>
      </c>
      <c r="AY20" s="11" t="n">
        <v>45.9964956385501</v>
      </c>
      <c r="AZ20" s="11" t="n">
        <v>45.308955107139</v>
      </c>
      <c r="BA20" s="11" t="n">
        <v>44.7250894966103</v>
      </c>
      <c r="BB20" s="11" t="n">
        <v>44.1587820104459</v>
      </c>
      <c r="BC20" s="11" t="n">
        <v>43.635631122168</v>
      </c>
      <c r="BD20" s="11" t="n">
        <v>43.1198678780951</v>
      </c>
      <c r="BE20" s="11" t="n">
        <v>42.6442620769094</v>
      </c>
      <c r="BF20" s="11" t="n">
        <v>42.2361716899713</v>
      </c>
      <c r="BG20" s="11" t="n">
        <v>41.8492151183362</v>
      </c>
      <c r="BH20" s="11" t="n">
        <v>41.4785558726706</v>
      </c>
      <c r="BI20" s="11" t="n">
        <v>41.1249136976923</v>
      </c>
      <c r="BJ20" s="11" t="n">
        <v>40.78239040219</v>
      </c>
      <c r="BK20" s="11" t="n">
        <v>40.4610045702767</v>
      </c>
      <c r="BL20" s="11" t="n">
        <v>40.1640316049187</v>
      </c>
      <c r="BM20" s="11" t="n">
        <v>39.8877175998756</v>
      </c>
      <c r="BN20" s="11" t="n">
        <v>275.371453244666</v>
      </c>
      <c r="BO20" s="11" t="n">
        <v>254.759075738998</v>
      </c>
      <c r="BP20" s="11" t="n">
        <v>233.643096234017</v>
      </c>
      <c r="BQ20" s="11" t="n">
        <v>218.283632584229</v>
      </c>
    </row>
    <row r="21" customFormat="false" ht="13.8" hidden="false" customHeight="false" outlineLevel="0" collapsed="false">
      <c r="A21" s="11" t="s">
        <v>156</v>
      </c>
      <c r="B21" s="11" t="s">
        <v>140</v>
      </c>
      <c r="C21" s="11" t="s">
        <v>139</v>
      </c>
      <c r="D21" s="12"/>
      <c r="E21" s="11" t="n">
        <v>44.3002234775336</v>
      </c>
      <c r="F21" s="11" t="n">
        <v>44.4052277252299</v>
      </c>
      <c r="G21" s="11" t="n">
        <v>39.9378274497614</v>
      </c>
      <c r="H21" s="11" t="n">
        <v>36.1377812173721</v>
      </c>
      <c r="I21" s="11" t="n">
        <v>36.733575590136</v>
      </c>
      <c r="J21" s="11" t="n">
        <v>35.5262647513158</v>
      </c>
      <c r="K21" s="11" t="n">
        <v>35.5202840220701</v>
      </c>
      <c r="L21" s="11" t="n">
        <v>35.7888793937191</v>
      </c>
      <c r="M21" s="11" t="n">
        <v>35.8446693081235</v>
      </c>
      <c r="N21" s="11" t="n">
        <v>27.2931949805531</v>
      </c>
      <c r="O21" s="11" t="n">
        <v>26.7745080049933</v>
      </c>
      <c r="P21" s="11" t="n">
        <v>25.5332295216333</v>
      </c>
      <c r="Q21" s="11" t="n">
        <v>24.0080781455952</v>
      </c>
      <c r="R21" s="11" t="n">
        <v>23.6493473576149</v>
      </c>
      <c r="S21" s="11" t="n">
        <v>24.1732056787632</v>
      </c>
      <c r="T21" s="11" t="n">
        <v>23.2738708129377</v>
      </c>
      <c r="U21" s="11" t="n">
        <v>22.3723859735233</v>
      </c>
      <c r="V21" s="11" t="n">
        <v>22.3871776205364</v>
      </c>
      <c r="W21" s="11" t="n">
        <v>21.8687745509561</v>
      </c>
      <c r="X21" s="11" t="n">
        <v>20.4093851389545</v>
      </c>
      <c r="Y21" s="11" t="n">
        <v>20.850592457761</v>
      </c>
      <c r="Z21" s="11" t="n">
        <v>20.1180492670757</v>
      </c>
      <c r="AA21" s="11" t="n">
        <v>20.0301007556531</v>
      </c>
      <c r="AB21" s="11" t="n">
        <v>20.07578522778</v>
      </c>
      <c r="AC21" s="11" t="n">
        <v>20.5757861988295</v>
      </c>
      <c r="AD21" s="11" t="n">
        <v>20.4522889297316</v>
      </c>
      <c r="AE21" s="11" t="n">
        <v>20.0055547697637</v>
      </c>
      <c r="AF21" s="11" t="n">
        <v>20.2878791430463</v>
      </c>
      <c r="AG21" s="11" t="n">
        <v>20.1618254992518</v>
      </c>
      <c r="AH21" s="11" t="n">
        <v>20.2029843423827</v>
      </c>
      <c r="AI21" s="11" t="n">
        <v>18.9789878158805</v>
      </c>
      <c r="AJ21" s="11" t="n">
        <v>19.343581552368</v>
      </c>
      <c r="AK21" s="11" t="n">
        <v>18.5808205022007</v>
      </c>
      <c r="AL21" s="11" t="n">
        <v>18.4485657982639</v>
      </c>
      <c r="AM21" s="11" t="n">
        <v>18.7553341449773</v>
      </c>
      <c r="AN21" s="11" t="n">
        <v>18.7352046992329</v>
      </c>
      <c r="AO21" s="11" t="n">
        <v>18.7128739824277</v>
      </c>
      <c r="AP21" s="11" t="n">
        <v>18.6685939685724</v>
      </c>
      <c r="AQ21" s="11" t="n">
        <v>18.5363201416109</v>
      </c>
      <c r="AR21" s="11" t="n">
        <v>18.5115916453155</v>
      </c>
      <c r="AS21" s="11" t="n">
        <v>18.4357728600869</v>
      </c>
      <c r="AT21" s="11" t="n">
        <v>18.3560497940624</v>
      </c>
      <c r="AU21" s="11" t="n">
        <v>18.2130557224302</v>
      </c>
      <c r="AV21" s="11" t="n">
        <v>18.1200402896194</v>
      </c>
      <c r="AW21" s="11" t="n">
        <v>18.0430875556581</v>
      </c>
      <c r="AX21" s="11" t="n">
        <v>17.9361965426584</v>
      </c>
      <c r="AY21" s="11" t="n">
        <v>17.8284235789065</v>
      </c>
      <c r="AZ21" s="11" t="n">
        <v>17.6388738815779</v>
      </c>
      <c r="BA21" s="11" t="n">
        <v>17.5642909870586</v>
      </c>
      <c r="BB21" s="11" t="n">
        <v>17.4820201190806</v>
      </c>
      <c r="BC21" s="11" t="n">
        <v>17.405367683822</v>
      </c>
      <c r="BD21" s="11" t="n">
        <v>17.3283290554434</v>
      </c>
      <c r="BE21" s="11" t="n">
        <v>17.2578899922117</v>
      </c>
      <c r="BF21" s="11" t="n">
        <v>17.1994147298116</v>
      </c>
      <c r="BG21" s="11" t="n">
        <v>17.1432052266259</v>
      </c>
      <c r="BH21" s="11" t="n">
        <v>17.0852165250298</v>
      </c>
      <c r="BI21" s="11" t="n">
        <v>17.0322511109944</v>
      </c>
      <c r="BJ21" s="11" t="n">
        <v>16.9763510435243</v>
      </c>
      <c r="BK21" s="11" t="n">
        <v>16.9250986833421</v>
      </c>
      <c r="BL21" s="11" t="n">
        <v>16.8660698370944</v>
      </c>
      <c r="BM21" s="11" t="n">
        <v>16.8125332657985</v>
      </c>
      <c r="BN21" s="11" t="n">
        <v>93.3205725934743</v>
      </c>
      <c r="BO21" s="11" t="n">
        <v>92.0527901635059</v>
      </c>
      <c r="BP21" s="11" t="n">
        <v>89.5666218484204</v>
      </c>
      <c r="BQ21" s="11" t="n">
        <v>87.0378978376164</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7.05228750474408</v>
      </c>
      <c r="Q22" s="11" t="n">
        <v>7.4688138300499</v>
      </c>
      <c r="R22" s="11" t="n">
        <v>8.25870624154292</v>
      </c>
      <c r="S22" s="11" t="n">
        <v>7.36937772653388</v>
      </c>
      <c r="T22" s="11" t="n">
        <v>8.09555591302204</v>
      </c>
      <c r="U22" s="11" t="n">
        <v>8.88703175483168</v>
      </c>
      <c r="V22" s="11" t="n">
        <v>9.24213661121652</v>
      </c>
      <c r="W22" s="11" t="n">
        <v>9.58107153266835</v>
      </c>
      <c r="X22" s="11" t="n">
        <v>10.0020094196355</v>
      </c>
      <c r="Y22" s="11" t="n">
        <v>10.4979550302191</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4.09884472060176</v>
      </c>
      <c r="AU22" s="11" t="n">
        <v>3.89091088317771</v>
      </c>
      <c r="AV22" s="11" t="n">
        <v>3.70734813175857</v>
      </c>
      <c r="AW22" s="11" t="n">
        <v>3.53638632023551</v>
      </c>
      <c r="AX22" s="11" t="n">
        <v>3.38044042697567</v>
      </c>
      <c r="AY22" s="11" t="n">
        <v>3.24624656805012</v>
      </c>
      <c r="AZ22" s="11" t="n">
        <v>3.14013667374679</v>
      </c>
      <c r="BA22" s="11" t="n">
        <v>3.06190005083168</v>
      </c>
      <c r="BB22" s="11" t="n">
        <v>3.0277117596006</v>
      </c>
      <c r="BC22" s="11" t="n">
        <v>3.01583177269943</v>
      </c>
      <c r="BD22" s="11" t="n">
        <v>3.01833912244435</v>
      </c>
      <c r="BE22" s="11" t="n">
        <v>3.03328730057938</v>
      </c>
      <c r="BF22" s="11" t="n">
        <v>3.05775648539494</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1.48366130882975</v>
      </c>
      <c r="F23" s="11" t="n">
        <v>1.24305334298279</v>
      </c>
      <c r="G23" s="11" t="n">
        <v>0.617640551647897</v>
      </c>
      <c r="H23" s="11" t="n">
        <v>0.538700846476154</v>
      </c>
      <c r="I23" s="11" t="n">
        <v>0.546409279966551</v>
      </c>
      <c r="J23" s="11" t="n">
        <v>0.533270281772292</v>
      </c>
      <c r="K23" s="11" t="n">
        <v>0.531928867885412</v>
      </c>
      <c r="L23" s="11" t="n">
        <v>0.44692564402011</v>
      </c>
      <c r="M23" s="11" t="n">
        <v>0.43528910732139</v>
      </c>
      <c r="N23" s="11" t="n">
        <v>0.412312802276656</v>
      </c>
      <c r="O23" s="11" t="n">
        <v>0.51862161306472</v>
      </c>
      <c r="P23" s="11" t="n">
        <v>0.432138729457178</v>
      </c>
      <c r="Q23" s="11" t="n">
        <v>0.364067786446408</v>
      </c>
      <c r="R23" s="11" t="n">
        <v>0.318513971049458</v>
      </c>
      <c r="S23" s="11" t="n">
        <v>0.402942811428176</v>
      </c>
      <c r="T23" s="11" t="n">
        <v>0.368307653921605</v>
      </c>
      <c r="U23" s="11" t="n">
        <v>0.369821205860997</v>
      </c>
      <c r="V23" s="11" t="n">
        <v>0.277694286963564</v>
      </c>
      <c r="W23" s="11" t="n">
        <v>0.255311612882481</v>
      </c>
      <c r="X23" s="11" t="n">
        <v>0.195240026958578</v>
      </c>
      <c r="Y23" s="11" t="n">
        <v>0.281496039558142</v>
      </c>
      <c r="Z23" s="11" t="n">
        <v>0.399303588048535</v>
      </c>
      <c r="AA23" s="11" t="n">
        <v>0.243138181819986</v>
      </c>
      <c r="AB23" s="11" t="n">
        <v>0.294217429839836</v>
      </c>
      <c r="AC23" s="11" t="n">
        <v>0.23782779605641</v>
      </c>
      <c r="AD23" s="11" t="n">
        <v>0.274427975434271</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0.145322964863699</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0.788373788456026</v>
      </c>
      <c r="BP23" s="11" t="n">
        <v>0.788373788456026</v>
      </c>
      <c r="BQ23" s="11" t="n">
        <v>0.788373788456026</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0.426418736992623</v>
      </c>
      <c r="AE24" s="11" t="n">
        <v>0.458386532676318</v>
      </c>
      <c r="AF24" s="11" t="n">
        <v>0.460093295564997</v>
      </c>
      <c r="AG24" s="11" t="n">
        <v>0.565037427403676</v>
      </c>
      <c r="AH24" s="11" t="n">
        <v>0.49719676355469</v>
      </c>
      <c r="AI24" s="11" t="n">
        <v>0.425406162786779</v>
      </c>
      <c r="AJ24" s="11" t="n">
        <v>0.38749956929647</v>
      </c>
      <c r="AK24" s="11" t="n">
        <v>0.333442729385777</v>
      </c>
      <c r="AL24" s="11" t="n">
        <v>0.301791676439176</v>
      </c>
      <c r="AM24" s="11" t="n">
        <v>0.307854862676676</v>
      </c>
      <c r="AN24" s="11" t="n">
        <v>0.314290204270113</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0.372815184884234</v>
      </c>
      <c r="AW24" s="11" t="n">
        <v>0.380977508595361</v>
      </c>
      <c r="AX24" s="11" t="n">
        <v>0.389343890399265</v>
      </c>
      <c r="AY24" s="11" t="n">
        <v>0.389343890399265</v>
      </c>
      <c r="AZ24" s="11" t="n">
        <v>0.389343890399265</v>
      </c>
      <c r="BA24" s="11" t="n">
        <v>0.389343890399265</v>
      </c>
      <c r="BB24" s="11" t="n">
        <v>0.389343890399265</v>
      </c>
      <c r="BC24" s="11" t="n">
        <v>0.389343890399265</v>
      </c>
      <c r="BD24" s="11" t="n">
        <v>0.389343890399265</v>
      </c>
      <c r="BE24" s="11" t="n">
        <v>0.389343890399265</v>
      </c>
      <c r="BF24" s="11" t="n">
        <v>0.389343890399265</v>
      </c>
      <c r="BG24" s="11" t="n">
        <v>0.389343890399265</v>
      </c>
      <c r="BH24" s="11" t="n">
        <v>0.389343890399265</v>
      </c>
      <c r="BI24" s="11" t="n">
        <v>0.389343890399265</v>
      </c>
      <c r="BJ24" s="11" t="n">
        <v>0.389343890399265</v>
      </c>
      <c r="BK24" s="11" t="n">
        <v>0.389343890399265</v>
      </c>
      <c r="BL24" s="11" t="n">
        <v>0.389343890399265</v>
      </c>
      <c r="BM24" s="11" t="n">
        <v>0.389343890399265</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32.3429075604533</v>
      </c>
      <c r="H27" s="11" t="n">
        <v>32.2867215516015</v>
      </c>
      <c r="I27" s="11" t="n">
        <v>32.4376625870691</v>
      </c>
      <c r="J27" s="11" t="n">
        <v>32.2069060308038</v>
      </c>
      <c r="K27" s="11" t="n">
        <v>32.8262420298166</v>
      </c>
      <c r="L27" s="11" t="n">
        <v>32.5783502819476</v>
      </c>
      <c r="M27" s="11" t="n">
        <v>32.6734220770182</v>
      </c>
      <c r="N27" s="11" t="n">
        <v>32.5130465142707</v>
      </c>
      <c r="O27" s="11" t="n">
        <v>31.5208846643531</v>
      </c>
      <c r="P27" s="11" t="n">
        <v>29.9473573096137</v>
      </c>
      <c r="Q27" s="11" t="n">
        <v>29.4891220094733</v>
      </c>
      <c r="R27" s="11" t="n">
        <v>29.7648113387233</v>
      </c>
      <c r="S27" s="11" t="n">
        <v>30.0129038331228</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27.8900628145383</v>
      </c>
      <c r="AK27" s="11" t="n">
        <v>27.7847764250513</v>
      </c>
      <c r="AL27" s="11" t="n">
        <v>27.2034581433579</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16.3728090246473</v>
      </c>
      <c r="F28" s="11" t="n">
        <v>16.3652204738222</v>
      </c>
      <c r="G28" s="11" t="n">
        <v>15.7880323748618</v>
      </c>
      <c r="H28" s="11" t="n">
        <v>15.3872752709717</v>
      </c>
      <c r="I28" s="11" t="n">
        <v>15.9578378738726</v>
      </c>
      <c r="J28" s="11" t="n">
        <v>16.0073151624586</v>
      </c>
      <c r="K28" s="11" t="n">
        <v>16.2385566670362</v>
      </c>
      <c r="L28" s="11" t="n">
        <v>16.4227129027924</v>
      </c>
      <c r="M28" s="11" t="n">
        <v>16.2079933627153</v>
      </c>
      <c r="N28" s="11" t="n">
        <v>16.2277371694367</v>
      </c>
      <c r="O28" s="11" t="n">
        <v>15.5059070589611</v>
      </c>
      <c r="P28" s="11" t="n">
        <v>14.9262809717382</v>
      </c>
      <c r="Q28" s="11" t="n">
        <v>14.9166492139828</v>
      </c>
      <c r="R28" s="11" t="n">
        <v>14.8411843098522</v>
      </c>
      <c r="S28" s="11" t="n">
        <v>14.6249013723468</v>
      </c>
      <c r="T28" s="11" t="n">
        <v>14.319878479678</v>
      </c>
      <c r="U28" s="11" t="n">
        <v>13.9484125589319</v>
      </c>
      <c r="V28" s="11" t="n">
        <v>13.6898865319666</v>
      </c>
      <c r="W28" s="11" t="n">
        <v>13.5903470722667</v>
      </c>
      <c r="X28" s="11" t="n">
        <v>13.5319011034865</v>
      </c>
      <c r="Y28" s="11" t="n">
        <v>13.7591024678466</v>
      </c>
      <c r="Z28" s="11" t="n">
        <v>13.7877731979964</v>
      </c>
      <c r="AA28" s="11" t="n">
        <v>13.6595715469706</v>
      </c>
      <c r="AB28" s="11" t="n">
        <v>13.7111904939868</v>
      </c>
      <c r="AC28" s="11" t="n">
        <v>14.2109240717554</v>
      </c>
      <c r="AD28" s="11" t="n">
        <v>14.1380536664966</v>
      </c>
      <c r="AE28" s="11" t="n">
        <v>13.813109346583</v>
      </c>
      <c r="AF28" s="11" t="n">
        <v>14.0170958536443</v>
      </c>
      <c r="AG28" s="11" t="n">
        <v>13.8566444133239</v>
      </c>
      <c r="AH28" s="11" t="n">
        <v>13.9485106648271</v>
      </c>
      <c r="AI28" s="11" t="n">
        <v>13.1569075442857</v>
      </c>
      <c r="AJ28" s="11" t="n">
        <v>13.478563412585</v>
      </c>
      <c r="AK28" s="11" t="n">
        <v>12.7290815643072</v>
      </c>
      <c r="AL28" s="11" t="n">
        <v>12.5191024192604</v>
      </c>
      <c r="AM28" s="11" t="n">
        <v>12.5045953938355</v>
      </c>
      <c r="AN28" s="11" t="n">
        <v>12.5098559697839</v>
      </c>
      <c r="AO28" s="11" t="n">
        <v>12.5217901091835</v>
      </c>
      <c r="AP28" s="11" t="n">
        <v>12.5376828555556</v>
      </c>
      <c r="AQ28" s="11" t="n">
        <v>12.5541577344059</v>
      </c>
      <c r="AR28" s="11" t="n">
        <v>12.5678684965442</v>
      </c>
      <c r="AS28" s="11" t="n">
        <v>12.5756416332501</v>
      </c>
      <c r="AT28" s="11" t="n">
        <v>12.5570215325553</v>
      </c>
      <c r="AU28" s="11" t="n">
        <v>12.5324913014387</v>
      </c>
      <c r="AV28" s="11" t="n">
        <v>12.5034970082266</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62.7871806981944</v>
      </c>
      <c r="BP28" s="11" t="n">
        <v>62.1470433189398</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78.1443339109576</v>
      </c>
      <c r="AO29" s="11" t="n">
        <v>77.8640782287023</v>
      </c>
      <c r="AP29" s="11" t="n">
        <v>77.6142125123915</v>
      </c>
      <c r="AQ29" s="11" t="n">
        <v>77.243644750172</v>
      </c>
      <c r="AR29" s="11" t="n">
        <v>77.2230608725506</v>
      </c>
      <c r="AS29" s="11" t="n">
        <v>76.975349626518</v>
      </c>
      <c r="AT29" s="11" t="n">
        <v>76.8763253494535</v>
      </c>
      <c r="AU29" s="11" t="n">
        <v>76.7730324310693</v>
      </c>
      <c r="AV29" s="11" t="n">
        <v>76.7241076602484</v>
      </c>
      <c r="AW29" s="11" t="n">
        <v>76.696892155131</v>
      </c>
      <c r="AX29" s="11" t="n">
        <v>76.7269247956324</v>
      </c>
      <c r="AY29" s="11" t="n">
        <v>77.1388169275553</v>
      </c>
      <c r="AZ29" s="11" t="n">
        <v>77.2335101288643</v>
      </c>
      <c r="BA29" s="11" t="n">
        <v>77.4179434115555</v>
      </c>
      <c r="BB29" s="11" t="n">
        <v>77.6131818199828</v>
      </c>
      <c r="BC29" s="11" t="n">
        <v>77.8493099351673</v>
      </c>
      <c r="BD29" s="11" t="n">
        <v>78.1697089564961</v>
      </c>
      <c r="BE29" s="11" t="n">
        <v>78.3389538879906</v>
      </c>
      <c r="BF29" s="11" t="n">
        <v>78.4328607916843</v>
      </c>
      <c r="BG29" s="11" t="n">
        <v>78.7244657427149</v>
      </c>
      <c r="BH29" s="11" t="n">
        <v>78.686094053813</v>
      </c>
      <c r="BI29" s="11" t="n">
        <v>78.7497494072874</v>
      </c>
      <c r="BJ29" s="11" t="n">
        <v>78.9539634578929</v>
      </c>
      <c r="BK29" s="11" t="n">
        <v>78.9683168192503</v>
      </c>
      <c r="BL29" s="11" t="n">
        <v>78.8903270055139</v>
      </c>
      <c r="BM29" s="11" t="n">
        <v>78.8067668621612</v>
      </c>
      <c r="BN29" s="11" t="n">
        <v>381.181790865054</v>
      </c>
      <c r="BO29" s="11" t="n">
        <v>385.091413029763</v>
      </c>
      <c r="BP29" s="11" t="n">
        <v>384.520251667431</v>
      </c>
      <c r="BQ29" s="11" t="n">
        <v>389.389098011192</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1.09531900072004</v>
      </c>
      <c r="R30" s="11" t="n">
        <v>1.01289196739384</v>
      </c>
      <c r="S30" s="11" t="n">
        <v>0.982359313650173</v>
      </c>
      <c r="T30" s="11" t="n">
        <v>0.897591964388521</v>
      </c>
      <c r="U30" s="11" t="n">
        <v>0.885797108559107</v>
      </c>
      <c r="V30" s="11" t="n">
        <v>0.853573181482257</v>
      </c>
      <c r="W30" s="11" t="n">
        <v>0.856922320465814</v>
      </c>
      <c r="X30" s="11" t="n">
        <v>0.844171007110998</v>
      </c>
      <c r="Y30" s="11" t="n">
        <v>0.92583766013819</v>
      </c>
      <c r="Z30" s="11" t="n">
        <v>0.844657408227866</v>
      </c>
      <c r="AA30" s="11" t="n">
        <v>0.882667864449412</v>
      </c>
      <c r="AB30" s="11" t="n">
        <v>0.920044016490673</v>
      </c>
      <c r="AC30" s="11" t="n">
        <v>0.846274659293319</v>
      </c>
      <c r="AD30" s="11" t="n">
        <v>0.864442474526235</v>
      </c>
      <c r="AE30" s="11" t="n">
        <v>0.893480966819406</v>
      </c>
      <c r="AF30" s="11" t="n">
        <v>0.940209296392752</v>
      </c>
      <c r="AG30" s="11" t="n">
        <v>0.981255685027574</v>
      </c>
      <c r="AH30" s="11" t="n">
        <v>0.962549001103792</v>
      </c>
      <c r="AI30" s="11" t="n">
        <v>0.983714236014689</v>
      </c>
      <c r="AJ30" s="11" t="n">
        <v>1.04517930620611</v>
      </c>
      <c r="AK30" s="11" t="n">
        <v>0.991773864116739</v>
      </c>
      <c r="AL30" s="11" t="n">
        <v>0.941681052261805</v>
      </c>
      <c r="AM30" s="11" t="n">
        <v>0.982884053202977</v>
      </c>
      <c r="AN30" s="11" t="n">
        <v>0.99069751985606</v>
      </c>
      <c r="AO30" s="11" t="n">
        <v>0.992408853027432</v>
      </c>
      <c r="AP30" s="11" t="n">
        <v>0.99913276936412</v>
      </c>
      <c r="AQ30" s="11" t="n">
        <v>0.999014218773411</v>
      </c>
      <c r="AR30" s="11" t="n">
        <v>0.992811072301399</v>
      </c>
      <c r="AS30" s="11" t="n">
        <v>0.979679650767616</v>
      </c>
      <c r="AT30" s="11" t="n">
        <v>0.97247731720217</v>
      </c>
      <c r="AU30" s="11" t="n">
        <v>0.969396526132389</v>
      </c>
      <c r="AV30" s="11" t="n">
        <v>0.962104880235476</v>
      </c>
      <c r="AW30" s="11" t="n">
        <v>0.953492517425982</v>
      </c>
      <c r="AX30" s="11" t="n">
        <v>0.93329712498187</v>
      </c>
      <c r="AY30" s="11" t="n">
        <v>0.910521968945589</v>
      </c>
      <c r="AZ30" s="11" t="n">
        <v>0.879148009480175</v>
      </c>
      <c r="BA30" s="11" t="n">
        <v>0.865474603717857</v>
      </c>
      <c r="BB30" s="11" t="n">
        <v>0.852047027752642</v>
      </c>
      <c r="BC30" s="11" t="n">
        <v>0.839813449319576</v>
      </c>
      <c r="BD30" s="11" t="n">
        <v>0.827596158871436</v>
      </c>
      <c r="BE30" s="11" t="n">
        <v>0.810911179023354</v>
      </c>
      <c r="BF30" s="11" t="n">
        <v>0.80225212965546</v>
      </c>
      <c r="BG30" s="11" t="n">
        <v>0.792705887186404</v>
      </c>
      <c r="BH30" s="11" t="n">
        <v>0.776149575588298</v>
      </c>
      <c r="BI30" s="11" t="n">
        <v>0.758307499084928</v>
      </c>
      <c r="BJ30" s="11" t="n">
        <v>0.742595225723449</v>
      </c>
      <c r="BK30" s="11" t="n">
        <v>0.732340056188041</v>
      </c>
      <c r="BL30" s="11" t="n">
        <v>0.73191283103333</v>
      </c>
      <c r="BM30" s="11" t="n">
        <v>0.731682331712258</v>
      </c>
      <c r="BN30" s="11" t="n">
        <v>4.90680424771239</v>
      </c>
      <c r="BO30" s="11" t="n">
        <v>4.91337878517699</v>
      </c>
      <c r="BP30" s="11" t="n">
        <v>4.63856450106909</v>
      </c>
      <c r="BQ30" s="11" t="n">
        <v>4.19584241868487</v>
      </c>
    </row>
    <row r="31" customFormat="false" ht="13.8" hidden="false" customHeight="false" outlineLevel="0" collapsed="false">
      <c r="A31" s="11" t="s">
        <v>156</v>
      </c>
      <c r="B31" s="11" t="s">
        <v>145</v>
      </c>
      <c r="C31" s="11" t="s">
        <v>139</v>
      </c>
      <c r="D31" s="12"/>
      <c r="E31" s="11" t="n">
        <v>0.803846646059867</v>
      </c>
      <c r="F31" s="11" t="n">
        <v>0.82826751111269</v>
      </c>
      <c r="G31" s="11" t="n">
        <v>0.800673717239957</v>
      </c>
      <c r="H31" s="11" t="n">
        <v>0.81932303991727</v>
      </c>
      <c r="I31" s="11" t="n">
        <v>0.782881171566505</v>
      </c>
      <c r="J31" s="11" t="n">
        <v>0.733462075757155</v>
      </c>
      <c r="K31" s="11" t="n">
        <v>0.747304308394233</v>
      </c>
      <c r="L31" s="11" t="n">
        <v>0.727557422178596</v>
      </c>
      <c r="M31" s="11" t="n">
        <v>0.720071388943577</v>
      </c>
      <c r="N31" s="11" t="n">
        <v>0.723323631281291</v>
      </c>
      <c r="O31" s="11" t="n">
        <v>0.701128967996624</v>
      </c>
      <c r="P31" s="11" t="n">
        <v>0.702079099264855</v>
      </c>
      <c r="Q31" s="11" t="n">
        <v>0.676881243874794</v>
      </c>
      <c r="R31" s="11" t="n">
        <v>0.665624646656046</v>
      </c>
      <c r="S31" s="11" t="n">
        <v>0.667992520226125</v>
      </c>
      <c r="T31" s="11" t="n">
        <v>0.663368901986628</v>
      </c>
      <c r="U31" s="11" t="n">
        <v>0.666538925470497</v>
      </c>
      <c r="V31" s="11" t="n">
        <v>0.666283633552895</v>
      </c>
      <c r="W31" s="11" t="n">
        <v>0.674512136836212</v>
      </c>
      <c r="X31" s="11" t="n">
        <v>0.677989974403374</v>
      </c>
      <c r="Y31" s="11" t="n">
        <v>0.694687837107868</v>
      </c>
      <c r="Z31" s="11" t="n">
        <v>0.682594805284617</v>
      </c>
      <c r="AA31" s="11" t="n">
        <v>0.69304367834433</v>
      </c>
      <c r="AB31" s="11" t="n">
        <v>0.701293262661856</v>
      </c>
      <c r="AC31" s="11" t="n">
        <v>0.693481536121006</v>
      </c>
      <c r="AD31" s="11" t="n">
        <v>0.697701399181227</v>
      </c>
      <c r="AE31" s="11" t="n">
        <v>0.70690583633571</v>
      </c>
      <c r="AF31" s="11" t="n">
        <v>0.713481592450162</v>
      </c>
      <c r="AG31" s="11" t="n">
        <v>0.7253592451567</v>
      </c>
      <c r="AH31" s="11" t="n">
        <v>0.725080797967358</v>
      </c>
      <c r="AI31" s="11" t="n">
        <v>0.729496304148847</v>
      </c>
      <c r="AJ31" s="11" t="n">
        <v>0.73947432248103</v>
      </c>
      <c r="AK31" s="11" t="n">
        <v>0.732979969265163</v>
      </c>
      <c r="AL31" s="11" t="n">
        <v>0.729579335172371</v>
      </c>
      <c r="AM31" s="11" t="n">
        <v>0.743249110875358</v>
      </c>
      <c r="AN31" s="11" t="n">
        <v>0.749860518806988</v>
      </c>
      <c r="AO31" s="11" t="n">
        <v>0.754503718097606</v>
      </c>
      <c r="AP31" s="11" t="n">
        <v>0.759125381589455</v>
      </c>
      <c r="AQ31" s="11" t="n">
        <v>0.76199279371434</v>
      </c>
      <c r="AR31" s="11" t="n">
        <v>0.763982753091646</v>
      </c>
      <c r="AS31" s="11" t="n">
        <v>0.764892244849894</v>
      </c>
      <c r="AT31" s="11" t="n">
        <v>0.766545829361648</v>
      </c>
      <c r="AU31" s="11" t="n">
        <v>0.768681325488995</v>
      </c>
      <c r="AV31" s="11" t="n">
        <v>0.770267522017647</v>
      </c>
      <c r="AW31" s="11" t="n">
        <v>0.771629221726523</v>
      </c>
      <c r="AX31" s="11" t="n">
        <v>0.771343897491222</v>
      </c>
      <c r="AY31" s="11" t="n">
        <v>0.770652055816814</v>
      </c>
      <c r="AZ31" s="11" t="n">
        <v>0.768713565237957</v>
      </c>
      <c r="BA31" s="11" t="n">
        <v>0.769170264040637</v>
      </c>
      <c r="BB31" s="11" t="n">
        <v>0.769617446610725</v>
      </c>
      <c r="BC31" s="11" t="n">
        <v>0.770223853824127</v>
      </c>
      <c r="BD31" s="11" t="n">
        <v>0.770797618327728</v>
      </c>
      <c r="BE31" s="11" t="n">
        <v>0.7707116427323</v>
      </c>
      <c r="BF31" s="11" t="n">
        <v>0.77171265974776</v>
      </c>
      <c r="BG31" s="11" t="n">
        <v>0.772529376333235</v>
      </c>
      <c r="BH31" s="11" t="n">
        <v>0.772261208624334</v>
      </c>
      <c r="BI31" s="11" t="n">
        <v>0.771685279477968</v>
      </c>
      <c r="BJ31" s="11" t="n">
        <v>0.771329611293838</v>
      </c>
      <c r="BK31" s="11" t="n">
        <v>0.771666536517967</v>
      </c>
      <c r="BL31" s="11" t="n">
        <v>0.773302502348898</v>
      </c>
      <c r="BM31" s="11" t="n">
        <v>0.774891282182903</v>
      </c>
      <c r="BN31" s="11" t="n">
        <v>3.73631806454178</v>
      </c>
      <c r="BO31" s="11" t="n">
        <v>3.82609494650652</v>
      </c>
      <c r="BP31" s="11" t="n">
        <v>3.85260626229016</v>
      </c>
      <c r="BQ31" s="11" t="n">
        <v>3.85052082553552</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114.013585166926</v>
      </c>
      <c r="AO32" s="11" t="n">
        <v>111.196893492503</v>
      </c>
      <c r="AP32" s="11" t="n">
        <v>108.174096331297</v>
      </c>
      <c r="AQ32" s="11" t="n">
        <v>103.828519218834</v>
      </c>
      <c r="AR32" s="11" t="n">
        <v>98.6482269125957</v>
      </c>
      <c r="AS32" s="11" t="n">
        <v>92.466604630422</v>
      </c>
      <c r="AT32" s="11" t="n">
        <v>86.7944509984983</v>
      </c>
      <c r="AU32" s="11" t="n">
        <v>81.5471892941952</v>
      </c>
      <c r="AV32" s="11" t="n">
        <v>77.0124918021796</v>
      </c>
      <c r="AW32" s="11" t="n">
        <v>72.9661103825358</v>
      </c>
      <c r="AX32" s="11" t="n">
        <v>69.4296838657407</v>
      </c>
      <c r="AY32" s="11" t="n">
        <v>66.2244955251871</v>
      </c>
      <c r="AZ32" s="11" t="n">
        <v>63.3445277023257</v>
      </c>
      <c r="BA32" s="11" t="n">
        <v>60.7979158536905</v>
      </c>
      <c r="BB32" s="11" t="n">
        <v>58.6039771125816</v>
      </c>
      <c r="BC32" s="11" t="n">
        <v>56.6007560481718</v>
      </c>
      <c r="BD32" s="11" t="n">
        <v>54.9295042383707</v>
      </c>
      <c r="BE32" s="11" t="n">
        <v>53.456831575732</v>
      </c>
      <c r="BF32" s="11" t="n">
        <v>52.2872838994718</v>
      </c>
      <c r="BG32" s="11" t="n">
        <v>51.2600973432672</v>
      </c>
      <c r="BH32" s="11" t="n">
        <v>50.3869395631565</v>
      </c>
      <c r="BI32" s="11" t="n">
        <v>49.7075268067788</v>
      </c>
      <c r="BJ32" s="11" t="n">
        <v>49.1163139150381</v>
      </c>
      <c r="BK32" s="11" t="n">
        <v>48.7570764834841</v>
      </c>
      <c r="BL32" s="11" t="n">
        <v>48.3982956594209</v>
      </c>
      <c r="BM32" s="11" t="n">
        <v>48.1108186451461</v>
      </c>
      <c r="BN32" s="11" t="n">
        <v>552.617096500671</v>
      </c>
      <c r="BO32" s="11" t="n">
        <v>463.284991054545</v>
      </c>
      <c r="BP32" s="11" t="n">
        <v>348.977309277969</v>
      </c>
      <c r="BQ32" s="11" t="n">
        <v>284.388984828547</v>
      </c>
    </row>
    <row r="33" customFormat="false" ht="13.8" hidden="false" customHeight="false" outlineLevel="0" collapsed="false">
      <c r="A33" s="11" t="s">
        <v>155</v>
      </c>
      <c r="B33" s="11" t="s">
        <v>146</v>
      </c>
      <c r="C33" s="11" t="s">
        <v>139</v>
      </c>
      <c r="D33" s="12"/>
      <c r="E33" s="11" t="n">
        <v>1.27297720515135</v>
      </c>
      <c r="F33" s="11" t="n">
        <v>1.25061064970842</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0.553564609166542</v>
      </c>
      <c r="R33" s="11" t="n">
        <v>0.490426598642273</v>
      </c>
      <c r="S33" s="11" t="n">
        <v>0.442652781387932</v>
      </c>
      <c r="T33" s="11" t="n">
        <v>0.405383013533054</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0.0747884074140275</v>
      </c>
      <c r="AJ33" s="11" t="n">
        <v>0.0810221488085114</v>
      </c>
      <c r="AK33" s="11" t="n">
        <v>0.0850575444875325</v>
      </c>
      <c r="AL33" s="11" t="n">
        <v>0.0856761920612092</v>
      </c>
      <c r="AM33" s="11" t="n">
        <v>0.0916319440299271</v>
      </c>
      <c r="AN33" s="11" t="n">
        <v>0.0909215250647209</v>
      </c>
      <c r="AO33" s="11" t="n">
        <v>0.0887836966635527</v>
      </c>
      <c r="AP33" s="11" t="n">
        <v>0.0874198179767226</v>
      </c>
      <c r="AQ33" s="11" t="n">
        <v>0.0851246512282482</v>
      </c>
      <c r="AR33" s="11" t="n">
        <v>0.0818511042831976</v>
      </c>
      <c r="AS33" s="11" t="n">
        <v>0.0774977443727539</v>
      </c>
      <c r="AT33" s="11" t="n">
        <v>0.0735843275014692</v>
      </c>
      <c r="AU33" s="11" t="n">
        <v>0.0698378574505318</v>
      </c>
      <c r="AV33" s="11" t="n">
        <v>0.0662749121676701</v>
      </c>
      <c r="AW33" s="11" t="n">
        <v>0.0630074763471738</v>
      </c>
      <c r="AX33" s="11" t="n">
        <v>0.0600124174082342</v>
      </c>
      <c r="AY33" s="11" t="n">
        <v>0.0572421458824033</v>
      </c>
      <c r="AZ33" s="11" t="n">
        <v>0.0547426814646269</v>
      </c>
      <c r="BA33" s="11" t="n">
        <v>0.0525011736010683</v>
      </c>
      <c r="BB33" s="11" t="n">
        <v>0.050436919635144</v>
      </c>
      <c r="BC33" s="11" t="n">
        <v>0.0486200543636496</v>
      </c>
      <c r="BD33" s="11" t="n">
        <v>0.0469370340496264</v>
      </c>
      <c r="BE33" s="11" t="n">
        <v>0.0455851701076493</v>
      </c>
      <c r="BF33" s="11" t="n">
        <v>0.044402853728362</v>
      </c>
      <c r="BG33" s="11" t="n">
        <v>0.0434405412902291</v>
      </c>
      <c r="BH33" s="11" t="n">
        <v>0.0427166450948969</v>
      </c>
      <c r="BI33" s="11" t="n">
        <v>0.0421824746469459</v>
      </c>
      <c r="BJ33" s="11" t="n">
        <v>0.0417177799374489</v>
      </c>
      <c r="BK33" s="11" t="n">
        <v>0.0413820125765451</v>
      </c>
      <c r="BL33" s="11" t="n">
        <v>0.0411534823604556</v>
      </c>
      <c r="BM33" s="11" t="n">
        <v>0.040994972440799</v>
      </c>
      <c r="BN33" s="11" t="n">
        <v>0.444433175796133</v>
      </c>
      <c r="BO33" s="11" t="n">
        <v>0.387895684836201</v>
      </c>
      <c r="BP33" s="11" t="n">
        <v>0.301279633270108</v>
      </c>
      <c r="BQ33" s="11" t="n">
        <v>0.244080351757138</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0.890620745807166</v>
      </c>
      <c r="X34" s="11" t="n">
        <v>0.844914398363468</v>
      </c>
      <c r="Y34" s="11" t="n">
        <v>0.849296904955032</v>
      </c>
      <c r="Z34" s="11" t="n">
        <v>0.862456549136757</v>
      </c>
      <c r="AA34" s="11" t="n">
        <v>0.877239206896131</v>
      </c>
      <c r="AB34" s="11" t="n">
        <v>0.894622354167945</v>
      </c>
      <c r="AC34" s="11" t="n">
        <v>0.934204816450957</v>
      </c>
      <c r="AD34" s="11" t="n">
        <v>0.949799549113104</v>
      </c>
      <c r="AE34" s="11" t="n">
        <v>0.987987362907361</v>
      </c>
      <c r="AF34" s="11" t="n">
        <v>1.00785908615541</v>
      </c>
      <c r="AG34" s="11" t="n">
        <v>1.01707539544984</v>
      </c>
      <c r="AH34" s="11" t="n">
        <v>0.991684737617365</v>
      </c>
      <c r="AI34" s="11" t="n">
        <v>0.871004562768477</v>
      </c>
      <c r="AJ34" s="11" t="n">
        <v>0.922070495488821</v>
      </c>
      <c r="AK34" s="11" t="n">
        <v>0.917810058079545</v>
      </c>
      <c r="AL34" s="11" t="n">
        <v>0.895428540077311</v>
      </c>
      <c r="AM34" s="11" t="n">
        <v>0.962369082226078</v>
      </c>
      <c r="AN34" s="11" t="n">
        <v>0.957857819219185</v>
      </c>
      <c r="AO34" s="11" t="n">
        <v>0.940639138194986</v>
      </c>
      <c r="AP34" s="11" t="n">
        <v>0.921553124346359</v>
      </c>
      <c r="AQ34" s="11" t="n">
        <v>0.897820418111225</v>
      </c>
      <c r="AR34" s="11" t="n">
        <v>0.869462253897718</v>
      </c>
      <c r="AS34" s="11" t="n">
        <v>0.837834460353642</v>
      </c>
      <c r="AT34" s="11" t="n">
        <v>0.810217265106006</v>
      </c>
      <c r="AU34" s="11" t="n">
        <v>0.785220337680204</v>
      </c>
      <c r="AV34" s="11" t="n">
        <v>0.762890971696676</v>
      </c>
      <c r="AW34" s="11" t="n">
        <v>0.744353263881415</v>
      </c>
      <c r="AX34" s="11" t="n">
        <v>0.729142401764429</v>
      </c>
      <c r="AY34" s="11" t="n">
        <v>0.716489752140066</v>
      </c>
      <c r="AZ34" s="11" t="n">
        <v>0.705864222902268</v>
      </c>
      <c r="BA34" s="11" t="n">
        <v>0.697516338977572</v>
      </c>
      <c r="BB34" s="11" t="n">
        <v>0.691019783966288</v>
      </c>
      <c r="BC34" s="11" t="n">
        <v>0.685865778708256</v>
      </c>
      <c r="BD34" s="11" t="n">
        <v>0.680376226799908</v>
      </c>
      <c r="BE34" s="11" t="n">
        <v>0.676472624163847</v>
      </c>
      <c r="BF34" s="11" t="n">
        <v>0.673368253000384</v>
      </c>
      <c r="BG34" s="11" t="n">
        <v>0.671495661058882</v>
      </c>
      <c r="BH34" s="11" t="n">
        <v>0.670479411820506</v>
      </c>
      <c r="BI34" s="11" t="n">
        <v>0.67026999496536</v>
      </c>
      <c r="BJ34" s="11" t="n">
        <v>0.670234040528016</v>
      </c>
      <c r="BK34" s="11" t="n">
        <v>0.671116662283046</v>
      </c>
      <c r="BL34" s="11" t="n">
        <v>0.672803271485063</v>
      </c>
      <c r="BM34" s="11" t="n">
        <v>0.674213296112528</v>
      </c>
      <c r="BN34" s="11" t="n">
        <v>4.67784770406392</v>
      </c>
      <c r="BO34" s="11" t="n">
        <v>4.2005547351488</v>
      </c>
      <c r="BP34" s="11" t="n">
        <v>3.65874061238485</v>
      </c>
      <c r="BQ34" s="11" t="n">
        <v>3.43125075261587</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7.05228750474408</v>
      </c>
      <c r="Q35" s="11" t="n">
        <v>7.4688138300499</v>
      </c>
      <c r="R35" s="11" t="n">
        <v>8.25870624154292</v>
      </c>
      <c r="S35" s="11" t="n">
        <v>7.36937772653388</v>
      </c>
      <c r="T35" s="11" t="n">
        <v>8.09555591302204</v>
      </c>
      <c r="U35" s="11" t="n">
        <v>8.88703175483168</v>
      </c>
      <c r="V35" s="11" t="n">
        <v>9.24213661121652</v>
      </c>
      <c r="W35" s="11" t="n">
        <v>9.58107153266835</v>
      </c>
      <c r="X35" s="11" t="n">
        <v>10.0020094196355</v>
      </c>
      <c r="Y35" s="11" t="n">
        <v>10.4979550302191</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4.09884472060176</v>
      </c>
      <c r="AU35" s="11" t="n">
        <v>3.89091088317771</v>
      </c>
      <c r="AV35" s="11" t="n">
        <v>3.70734813175857</v>
      </c>
      <c r="AW35" s="11" t="n">
        <v>3.53638632023551</v>
      </c>
      <c r="AX35" s="11" t="n">
        <v>3.38044042697567</v>
      </c>
      <c r="AY35" s="11" t="n">
        <v>3.24624656805012</v>
      </c>
      <c r="AZ35" s="11" t="n">
        <v>3.14013667374679</v>
      </c>
      <c r="BA35" s="11" t="n">
        <v>3.06190005083168</v>
      </c>
      <c r="BB35" s="11" t="n">
        <v>3.0277117596006</v>
      </c>
      <c r="BC35" s="11" t="n">
        <v>3.01583177269943</v>
      </c>
      <c r="BD35" s="11" t="n">
        <v>3.01833912244435</v>
      </c>
      <c r="BE35" s="11" t="n">
        <v>3.03328730057938</v>
      </c>
      <c r="BF35" s="11" t="n">
        <v>3.05775648539494</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1.48366130882975</v>
      </c>
      <c r="F36" s="11" t="n">
        <v>1.24305334298279</v>
      </c>
      <c r="G36" s="11" t="n">
        <v>0.617640551647897</v>
      </c>
      <c r="H36" s="11" t="n">
        <v>0.538700846476154</v>
      </c>
      <c r="I36" s="11" t="n">
        <v>0.546409279966551</v>
      </c>
      <c r="J36" s="11" t="n">
        <v>0.533270281772292</v>
      </c>
      <c r="K36" s="11" t="n">
        <v>0.531928867885412</v>
      </c>
      <c r="L36" s="11" t="n">
        <v>0.44692564402011</v>
      </c>
      <c r="M36" s="11" t="n">
        <v>0.43528910732139</v>
      </c>
      <c r="N36" s="11" t="n">
        <v>0.412312802276656</v>
      </c>
      <c r="O36" s="11" t="n">
        <v>0.51862161306472</v>
      </c>
      <c r="P36" s="11" t="n">
        <v>0.432138729457178</v>
      </c>
      <c r="Q36" s="11" t="n">
        <v>0.364067786446408</v>
      </c>
      <c r="R36" s="11" t="n">
        <v>0.318513971049458</v>
      </c>
      <c r="S36" s="11" t="n">
        <v>0.402942811428176</v>
      </c>
      <c r="T36" s="11" t="n">
        <v>0.368307653921605</v>
      </c>
      <c r="U36" s="11" t="n">
        <v>0.369821205860997</v>
      </c>
      <c r="V36" s="11" t="n">
        <v>0.277694286963564</v>
      </c>
      <c r="W36" s="11" t="n">
        <v>0.255311612882481</v>
      </c>
      <c r="X36" s="11" t="n">
        <v>0.195240026958578</v>
      </c>
      <c r="Y36" s="11" t="n">
        <v>0.281496039558142</v>
      </c>
      <c r="Z36" s="11" t="n">
        <v>0.399303588048535</v>
      </c>
      <c r="AA36" s="11" t="n">
        <v>0.243138181819986</v>
      </c>
      <c r="AB36" s="11" t="n">
        <v>0.294217429839836</v>
      </c>
      <c r="AC36" s="11" t="n">
        <v>0.23782779605641</v>
      </c>
      <c r="AD36" s="11" t="n">
        <v>0.274427975434271</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0.145322964863699</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0.788373788456026</v>
      </c>
      <c r="BP36" s="11" t="n">
        <v>0.788373788456026</v>
      </c>
      <c r="BQ36" s="11" t="n">
        <v>0.788373788456026</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0.426418736992623</v>
      </c>
      <c r="AE37" s="11" t="n">
        <v>0.458386532676318</v>
      </c>
      <c r="AF37" s="11" t="n">
        <v>0.460093295564997</v>
      </c>
      <c r="AG37" s="11" t="n">
        <v>0.565037427403676</v>
      </c>
      <c r="AH37" s="11" t="n">
        <v>0.49719676355469</v>
      </c>
      <c r="AI37" s="11" t="n">
        <v>0.425406162786779</v>
      </c>
      <c r="AJ37" s="11" t="n">
        <v>0.38749956929647</v>
      </c>
      <c r="AK37" s="11" t="n">
        <v>0.333442729385777</v>
      </c>
      <c r="AL37" s="11" t="n">
        <v>0.301791676439176</v>
      </c>
      <c r="AM37" s="11" t="n">
        <v>0.307854862676676</v>
      </c>
      <c r="AN37" s="11" t="n">
        <v>0.314290204270113</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0.372815184884234</v>
      </c>
      <c r="AW37" s="11" t="n">
        <v>0.380977508595361</v>
      </c>
      <c r="AX37" s="11" t="n">
        <v>0.389343890399265</v>
      </c>
      <c r="AY37" s="11" t="n">
        <v>0.389343890399265</v>
      </c>
      <c r="AZ37" s="11" t="n">
        <v>0.389343890399265</v>
      </c>
      <c r="BA37" s="11" t="n">
        <v>0.389343890399265</v>
      </c>
      <c r="BB37" s="11" t="n">
        <v>0.389343890399265</v>
      </c>
      <c r="BC37" s="11" t="n">
        <v>0.389343890399265</v>
      </c>
      <c r="BD37" s="11" t="n">
        <v>0.389343890399265</v>
      </c>
      <c r="BE37" s="11" t="n">
        <v>0.389343890399265</v>
      </c>
      <c r="BF37" s="11" t="n">
        <v>0.389343890399265</v>
      </c>
      <c r="BG37" s="11" t="n">
        <v>0.389343890399265</v>
      </c>
      <c r="BH37" s="11" t="n">
        <v>0.389343890399265</v>
      </c>
      <c r="BI37" s="11" t="n">
        <v>0.389343890399265</v>
      </c>
      <c r="BJ37" s="11" t="n">
        <v>0.389343890399265</v>
      </c>
      <c r="BK37" s="11" t="n">
        <v>0.389343890399265</v>
      </c>
      <c r="BL37" s="11" t="n">
        <v>0.389343890399265</v>
      </c>
      <c r="BM37" s="11" t="n">
        <v>0.389343890399265</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27.8666115887723</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9.76119296086783</v>
      </c>
      <c r="AB40" s="11" t="n">
        <v>8.41545417361807</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4.60818214072732</v>
      </c>
      <c r="AO40" s="11" t="n">
        <v>4.5132521960876</v>
      </c>
      <c r="AP40" s="11" t="n">
        <v>4.42836300944687</v>
      </c>
      <c r="AQ40" s="11" t="n">
        <v>4.33504168505129</v>
      </c>
      <c r="AR40" s="11" t="n">
        <v>4.26727712639257</v>
      </c>
      <c r="AS40" s="11" t="n">
        <v>4.1618054380894</v>
      </c>
      <c r="AT40" s="11" t="n">
        <v>4.08390895615928</v>
      </c>
      <c r="AU40" s="11" t="n">
        <v>4.00203273875182</v>
      </c>
      <c r="AV40" s="11" t="n">
        <v>3.92099397090003</v>
      </c>
      <c r="AW40" s="11" t="n">
        <v>3.91122263488677</v>
      </c>
      <c r="AX40" s="11" t="n">
        <v>3.90328879659515</v>
      </c>
      <c r="AY40" s="11" t="n">
        <v>3.84481600291072</v>
      </c>
      <c r="AZ40" s="11" t="n">
        <v>3.7976161839907</v>
      </c>
      <c r="BA40" s="11" t="n">
        <v>3.79400015565427</v>
      </c>
      <c r="BB40" s="11" t="n">
        <v>3.7759729732331</v>
      </c>
      <c r="BC40" s="11" t="n">
        <v>3.76885608006965</v>
      </c>
      <c r="BD40" s="11" t="n">
        <v>3.70815559022752</v>
      </c>
      <c r="BE40" s="11" t="n">
        <v>3.67002933667305</v>
      </c>
      <c r="BF40" s="11" t="n">
        <v>3.66231179000805</v>
      </c>
      <c r="BG40" s="11" t="n">
        <v>3.65876258264706</v>
      </c>
      <c r="BH40" s="11" t="n">
        <v>3.65457278838883</v>
      </c>
      <c r="BI40" s="11" t="n">
        <v>3.65168890395992</v>
      </c>
      <c r="BJ40" s="11" t="n">
        <v>3.63997932012981</v>
      </c>
      <c r="BK40" s="11" t="n">
        <v>3.62690637007528</v>
      </c>
      <c r="BL40" s="11" t="n">
        <v>3.61338299177007</v>
      </c>
      <c r="BM40" s="11" t="n">
        <v>3.60672947880083</v>
      </c>
      <c r="BN40" s="11" t="n">
        <v>22.9543136845005</v>
      </c>
      <c r="BO40" s="11" t="n">
        <v>20.8500659444444</v>
      </c>
      <c r="BP40" s="11" t="n">
        <v>19.3779375892834</v>
      </c>
      <c r="BQ40" s="11" t="n">
        <v>18.7170141358576</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0.442894292416788</v>
      </c>
      <c r="O41" s="11" t="n">
        <v>0.440832972272152</v>
      </c>
      <c r="P41" s="11" t="n">
        <v>0.46202476197879</v>
      </c>
      <c r="Q41" s="11" t="n">
        <v>0.491979479550147</v>
      </c>
      <c r="R41" s="11" t="n">
        <v>0.432768472682193</v>
      </c>
      <c r="S41" s="11" t="n">
        <v>0.421690806993512</v>
      </c>
      <c r="T41" s="11" t="n">
        <v>0.412567690229287</v>
      </c>
      <c r="U41" s="11" t="n">
        <v>0.382106826564727</v>
      </c>
      <c r="V41" s="11" t="n">
        <v>0.370533797808131</v>
      </c>
      <c r="W41" s="11" t="n">
        <v>0.362480367766961</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0.259826594914701</v>
      </c>
      <c r="AQ41" s="11" t="n">
        <v>0.252551758120265</v>
      </c>
      <c r="AR41" s="11" t="n">
        <v>0.242641902370847</v>
      </c>
      <c r="AS41" s="11" t="n">
        <v>0.233218003086929</v>
      </c>
      <c r="AT41" s="11" t="n">
        <v>0.22053906038247</v>
      </c>
      <c r="AU41" s="11" t="n">
        <v>0.203643509593306</v>
      </c>
      <c r="AV41" s="11" t="n">
        <v>0.186312550598975</v>
      </c>
      <c r="AW41" s="11" t="n">
        <v>0.184860008589182</v>
      </c>
      <c r="AX41" s="11" t="n">
        <v>0.182500573003159</v>
      </c>
      <c r="AY41" s="11" t="n">
        <v>0.162360845078634</v>
      </c>
      <c r="AZ41" s="11" t="n">
        <v>0.0674546792871321</v>
      </c>
      <c r="BA41" s="11" t="n">
        <v>0.0673403531980414</v>
      </c>
      <c r="BB41" s="11" t="n">
        <v>0.058502968309159</v>
      </c>
      <c r="BC41" s="11" t="n">
        <v>0.0581678143369751</v>
      </c>
      <c r="BD41" s="11" t="n">
        <v>0.0373879612676024</v>
      </c>
      <c r="BE41" s="11" t="n">
        <v>0.0277102342592243</v>
      </c>
      <c r="BF41" s="11" t="n">
        <v>0.0277097774370079</v>
      </c>
      <c r="BG41" s="11" t="n">
        <v>0.0276567516994801</v>
      </c>
      <c r="BH41" s="11" t="n">
        <v>0.0240764958787409</v>
      </c>
      <c r="BI41" s="11" t="n">
        <v>0.0242330378964321</v>
      </c>
      <c r="BJ41" s="11" t="n">
        <v>0.0232321758114532</v>
      </c>
      <c r="BK41" s="11" t="n">
        <v>0.0174688939437664</v>
      </c>
      <c r="BL41" s="11" t="n">
        <v>0.0128977331393986</v>
      </c>
      <c r="BM41" s="11" t="n">
        <v>0.0103055391778412</v>
      </c>
      <c r="BN41" s="11" t="n">
        <v>1.3333713882988</v>
      </c>
      <c r="BO41" s="11" t="n">
        <v>1.15259423355382</v>
      </c>
      <c r="BP41" s="11" t="n">
        <v>0.783488656557082</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53.8265487822321</v>
      </c>
      <c r="AN42" s="11" t="n">
        <v>51.7677715038141</v>
      </c>
      <c r="AO42" s="11" t="n">
        <v>50.8176045416716</v>
      </c>
      <c r="AP42" s="11" t="n">
        <v>50.5501660256952</v>
      </c>
      <c r="AQ42" s="11" t="n">
        <v>50.1133069388592</v>
      </c>
      <c r="AR42" s="11" t="n">
        <v>49.7077942869488</v>
      </c>
      <c r="AS42" s="11" t="n">
        <v>49.3018755823578</v>
      </c>
      <c r="AT42" s="11" t="n">
        <v>48.8997563279992</v>
      </c>
      <c r="AU42" s="11" t="n">
        <v>48.6831451799194</v>
      </c>
      <c r="AV42" s="11" t="n">
        <v>48.5313317900011</v>
      </c>
      <c r="AW42" s="11" t="n">
        <v>48.1031405558306</v>
      </c>
      <c r="AX42" s="11" t="n">
        <v>47.8503290558974</v>
      </c>
      <c r="AY42" s="11" t="n">
        <v>47.6259266612446</v>
      </c>
      <c r="AZ42" s="11" t="n">
        <v>47.6775283121357</v>
      </c>
      <c r="BA42" s="11" t="n">
        <v>47.6490311614055</v>
      </c>
      <c r="BB42" s="11" t="n">
        <v>47.661033352392</v>
      </c>
      <c r="BC42" s="11" t="n">
        <v>48.1083099015398</v>
      </c>
      <c r="BD42" s="11" t="n">
        <v>48.8417479612379</v>
      </c>
      <c r="BE42" s="11" t="n">
        <v>49.0443738399268</v>
      </c>
      <c r="BF42" s="11" t="n">
        <v>49.3131363937356</v>
      </c>
      <c r="BG42" s="11" t="n">
        <v>49.4802732828493</v>
      </c>
      <c r="BH42" s="11" t="n">
        <v>49.8177082420915</v>
      </c>
      <c r="BI42" s="11" t="n">
        <v>50.2338862726003</v>
      </c>
      <c r="BJ42" s="11" t="n">
        <v>50.5908497138929</v>
      </c>
      <c r="BK42" s="11" t="n">
        <v>51.0000568899098</v>
      </c>
      <c r="BL42" s="11" t="n">
        <v>51.3515808378826</v>
      </c>
      <c r="BM42" s="11" t="n">
        <v>51.7102556420375</v>
      </c>
      <c r="BN42" s="11" t="n">
        <v>270.427597349012</v>
      </c>
      <c r="BO42" s="11" t="n">
        <v>246.705878316085</v>
      </c>
      <c r="BP42" s="11" t="n">
        <v>239.788256375109</v>
      </c>
      <c r="BQ42" s="11" t="n">
        <v>241.304496216502</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0.131857151900525</v>
      </c>
      <c r="AN43" s="11" t="n">
        <v>0.12949368086377</v>
      </c>
      <c r="AO43" s="11" t="n">
        <v>0.129138132540231</v>
      </c>
      <c r="AP43" s="11" t="n">
        <v>0.128680431202003</v>
      </c>
      <c r="AQ43" s="11" t="n">
        <v>0.129104621650429</v>
      </c>
      <c r="AR43" s="11" t="n">
        <v>0.128886811832004</v>
      </c>
      <c r="AS43" s="11" t="n">
        <v>0.128551300577069</v>
      </c>
      <c r="AT43" s="11" t="n">
        <v>0.128810604889364</v>
      </c>
      <c r="AU43" s="11" t="n">
        <v>0.128650892078995</v>
      </c>
      <c r="AV43" s="11" t="n">
        <v>0.127771529094621</v>
      </c>
      <c r="AW43" s="11" t="n">
        <v>0.125869427589907</v>
      </c>
      <c r="AX43" s="11" t="n">
        <v>0.12246372960959</v>
      </c>
      <c r="AY43" s="11" t="n">
        <v>0.119067559290795</v>
      </c>
      <c r="AZ43" s="11" t="n">
        <v>0.114005894309049</v>
      </c>
      <c r="BA43" s="11" t="n">
        <v>0.110891733753837</v>
      </c>
      <c r="BB43" s="11" t="n">
        <v>0.109875197800085</v>
      </c>
      <c r="BC43" s="11" t="n">
        <v>0.11042130698399</v>
      </c>
      <c r="BD43" s="11" t="n">
        <v>0.1107615769991</v>
      </c>
      <c r="BE43" s="11" t="n">
        <v>0.110596128247917</v>
      </c>
      <c r="BF43" s="11" t="n">
        <v>0.111727422757292</v>
      </c>
      <c r="BG43" s="11" t="n">
        <v>0.112807601349664</v>
      </c>
      <c r="BH43" s="11" t="n">
        <v>0.113783329502417</v>
      </c>
      <c r="BI43" s="11" t="n">
        <v>0.114664594451272</v>
      </c>
      <c r="BJ43" s="11" t="n">
        <v>0.115462807925455</v>
      </c>
      <c r="BK43" s="11" t="n">
        <v>0.116460202051649</v>
      </c>
      <c r="BL43" s="11" t="n">
        <v>0.117694839847415</v>
      </c>
      <c r="BM43" s="11" t="n">
        <v>0.118976166279322</v>
      </c>
      <c r="BN43" s="11" t="n">
        <v>0.66335238915894</v>
      </c>
      <c r="BO43" s="11" t="n">
        <v>0.644004231027861</v>
      </c>
      <c r="BP43" s="11" t="n">
        <v>0.609178139893962</v>
      </c>
      <c r="BQ43" s="11" t="n">
        <v>0.552545943784929</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5.07364558948497</v>
      </c>
      <c r="P44" s="11" t="n">
        <v>4.45325880525414</v>
      </c>
      <c r="Q44" s="11" t="n">
        <v>3.01842197338898</v>
      </c>
      <c r="R44" s="11" t="n">
        <v>2.81505100334472</v>
      </c>
      <c r="S44" s="11" t="n">
        <v>3.63996062651573</v>
      </c>
      <c r="T44" s="11" t="n">
        <v>3.0442791940789</v>
      </c>
      <c r="U44" s="11" t="n">
        <v>2.54557292799599</v>
      </c>
      <c r="V44" s="11" t="n">
        <v>2.90942202484568</v>
      </c>
      <c r="W44" s="11" t="n">
        <v>2.72152512967184</v>
      </c>
      <c r="X44" s="11" t="n">
        <v>1.44743896649675</v>
      </c>
      <c r="Y44" s="11" t="n">
        <v>1.57729522759961</v>
      </c>
      <c r="Z44" s="11" t="n">
        <v>0.759835128682743</v>
      </c>
      <c r="AA44" s="11" t="n">
        <v>0.689927058145182</v>
      </c>
      <c r="AB44" s="11" t="n">
        <v>0.671846126192616</v>
      </c>
      <c r="AC44" s="11" t="n">
        <v>0.710807215554163</v>
      </c>
      <c r="AD44" s="11" t="n">
        <v>0.675534461273334</v>
      </c>
      <c r="AE44" s="11" t="n">
        <v>0.644171223541193</v>
      </c>
      <c r="AF44" s="11" t="n">
        <v>0.655595617940846</v>
      </c>
      <c r="AG44" s="11" t="n">
        <v>0.671057262333067</v>
      </c>
      <c r="AH44" s="11" t="n">
        <v>0.665186983520861</v>
      </c>
      <c r="AI44" s="11" t="n">
        <v>0.562024686597679</v>
      </c>
      <c r="AJ44" s="11" t="n">
        <v>0.532178473754611</v>
      </c>
      <c r="AK44" s="11" t="n">
        <v>0.466551853454806</v>
      </c>
      <c r="AL44" s="11" t="n">
        <v>0.477826020714757</v>
      </c>
      <c r="AM44" s="11" t="n">
        <v>0.505082913383914</v>
      </c>
      <c r="AN44" s="11" t="n">
        <v>0.504575776203602</v>
      </c>
      <c r="AO44" s="11" t="n">
        <v>0.504787369934537</v>
      </c>
      <c r="AP44" s="11" t="n">
        <v>0.505037141206351</v>
      </c>
      <c r="AQ44" s="11" t="n">
        <v>0.505989299325343</v>
      </c>
      <c r="AR44" s="11" t="n">
        <v>0.507431260615989</v>
      </c>
      <c r="AS44" s="11" t="n">
        <v>0.509328079869679</v>
      </c>
      <c r="AT44" s="11" t="n">
        <v>0.510523172661894</v>
      </c>
      <c r="AU44" s="11" t="n">
        <v>0.511130203499404</v>
      </c>
      <c r="AV44" s="11" t="n">
        <v>0.510860915121123</v>
      </c>
      <c r="AW44" s="11" t="n">
        <v>0.509882314211633</v>
      </c>
      <c r="AX44" s="11" t="n">
        <v>0.507101561897793</v>
      </c>
      <c r="AY44" s="11" t="n">
        <v>0.503751955063254</v>
      </c>
      <c r="AZ44" s="11" t="n">
        <v>0.499527042549503</v>
      </c>
      <c r="BA44" s="11" t="n">
        <v>0.498584530781936</v>
      </c>
      <c r="BB44" s="11" t="n">
        <v>0.500728693219846</v>
      </c>
      <c r="BC44" s="11" t="n">
        <v>0.503540006545031</v>
      </c>
      <c r="BD44" s="11" t="n">
        <v>0.506281705556297</v>
      </c>
      <c r="BE44" s="11" t="n">
        <v>0.508321716741892</v>
      </c>
      <c r="BF44" s="11" t="n">
        <v>0.51199235265112</v>
      </c>
      <c r="BG44" s="11" t="n">
        <v>0.515634440891965</v>
      </c>
      <c r="BH44" s="11" t="n">
        <v>0.519131090979796</v>
      </c>
      <c r="BI44" s="11" t="n">
        <v>0.523021302936252</v>
      </c>
      <c r="BJ44" s="11" t="n">
        <v>0.526837841410341</v>
      </c>
      <c r="BK44" s="11" t="n">
        <v>0.530910171290127</v>
      </c>
      <c r="BL44" s="11" t="n">
        <v>0.535299712709955</v>
      </c>
      <c r="BM44" s="11" t="n">
        <v>0.539752433590785</v>
      </c>
      <c r="BN44" s="11" t="n">
        <v>2.49730922144316</v>
      </c>
      <c r="BO44" s="11" t="n">
        <v>2.54440201597231</v>
      </c>
      <c r="BP44" s="11" t="n">
        <v>2.53112378884331</v>
      </c>
      <c r="BQ44" s="11" t="n">
        <v>2.517456652845</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5.55186504357902</v>
      </c>
      <c r="H46" s="11" t="n">
        <v>5.54746647872344</v>
      </c>
      <c r="I46" s="11" t="n">
        <v>5.53902951394119</v>
      </c>
      <c r="J46" s="11" t="n">
        <v>5.54965155198649</v>
      </c>
      <c r="K46" s="11" t="n">
        <v>5.53405930164697</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5.57797283010562</v>
      </c>
      <c r="X46" s="11" t="n">
        <v>5.57878522339053</v>
      </c>
      <c r="Y46" s="11" t="n">
        <v>5.60501096444991</v>
      </c>
      <c r="Z46" s="11" t="n">
        <v>5.62372281146323</v>
      </c>
      <c r="AA46" s="11" t="n">
        <v>5.61193731105979</v>
      </c>
      <c r="AB46" s="11" t="n">
        <v>5.62617031143543</v>
      </c>
      <c r="AC46" s="11" t="n">
        <v>5.60602836886574</v>
      </c>
      <c r="AD46" s="11" t="n">
        <v>5.62278898771431</v>
      </c>
      <c r="AE46" s="11" t="n">
        <v>5.64143854355453</v>
      </c>
      <c r="AF46" s="11" t="n">
        <v>5.63907784389892</v>
      </c>
      <c r="AG46" s="11" t="n">
        <v>5.69160270708721</v>
      </c>
      <c r="AH46" s="11" t="n">
        <v>5.70956542589149</v>
      </c>
      <c r="AI46" s="11" t="n">
        <v>5.68909600002544</v>
      </c>
      <c r="AJ46" s="11" t="n">
        <v>5.69657165648638</v>
      </c>
      <c r="AK46" s="11" t="n">
        <v>5.71939302059153</v>
      </c>
      <c r="AL46" s="11" t="n">
        <v>5.75129142539663</v>
      </c>
      <c r="AM46" s="11" t="n">
        <v>5.77843961940047</v>
      </c>
      <c r="AN46" s="11" t="n">
        <v>5.82893431121417</v>
      </c>
      <c r="AO46" s="11" t="n">
        <v>5.87516461238546</v>
      </c>
      <c r="AP46" s="11" t="n">
        <v>5.92092678246998</v>
      </c>
      <c r="AQ46" s="11" t="n">
        <v>5.96055627423853</v>
      </c>
      <c r="AR46" s="11" t="n">
        <v>6.00469813847712</v>
      </c>
      <c r="AS46" s="11" t="n">
        <v>6.04871755683646</v>
      </c>
      <c r="AT46" s="11" t="n">
        <v>6.05489975770093</v>
      </c>
      <c r="AU46" s="11" t="n">
        <v>6.05930697368643</v>
      </c>
      <c r="AV46" s="11" t="n">
        <v>6.05892463983378</v>
      </c>
      <c r="AW46" s="11" t="n">
        <v>6.05840612219305</v>
      </c>
      <c r="AX46" s="11" t="n">
        <v>6.05759619889438</v>
      </c>
      <c r="AY46" s="11" t="n">
        <v>6.05669382061206</v>
      </c>
      <c r="AZ46" s="11" t="n">
        <v>6.05564215321823</v>
      </c>
      <c r="BA46" s="11" t="n">
        <v>6.05407666296171</v>
      </c>
      <c r="BB46" s="11" t="n">
        <v>6.05265111772195</v>
      </c>
      <c r="BC46" s="11" t="n">
        <v>6.05111180786035</v>
      </c>
      <c r="BD46" s="11" t="n">
        <v>6.05087833472176</v>
      </c>
      <c r="BE46" s="11" t="n">
        <v>6.05117502944991</v>
      </c>
      <c r="BF46" s="11" t="n">
        <v>6.05153060471665</v>
      </c>
      <c r="BG46" s="11" t="n">
        <v>6.04367299685357</v>
      </c>
      <c r="BH46" s="11" t="n">
        <v>6.03767307245211</v>
      </c>
      <c r="BI46" s="11" t="n">
        <v>6.02978817960862</v>
      </c>
      <c r="BJ46" s="11" t="n">
        <v>6.02218043965274</v>
      </c>
      <c r="BK46" s="11" t="n">
        <v>6.01467645946509</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1.54590973355711</v>
      </c>
      <c r="U47" s="11" t="n">
        <v>1.51233022580462</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37.8563107926445</v>
      </c>
      <c r="AN48" s="11" t="n">
        <v>25.9762967931258</v>
      </c>
      <c r="AO48" s="11" t="n">
        <v>23.5965576806825</v>
      </c>
      <c r="AP48" s="11" t="n">
        <v>21.0523301088152</v>
      </c>
      <c r="AQ48" s="11" t="n">
        <v>20.4258465442797</v>
      </c>
      <c r="AR48" s="11" t="n">
        <v>20.6806449886044</v>
      </c>
      <c r="AS48" s="11" t="n">
        <v>22.659434066861</v>
      </c>
      <c r="AT48" s="11" t="n">
        <v>23.1596676509171</v>
      </c>
      <c r="AU48" s="11" t="n">
        <v>24.1676078563517</v>
      </c>
      <c r="AV48" s="11" t="n">
        <v>25.4100991873618</v>
      </c>
      <c r="AW48" s="11" t="n">
        <v>26.604961129565</v>
      </c>
      <c r="AX48" s="11" t="n">
        <v>27.5687221295285</v>
      </c>
      <c r="AY48" s="11" t="n">
        <v>26.5408168664633</v>
      </c>
      <c r="AZ48" s="11" t="n">
        <v>26.4050638728951</v>
      </c>
      <c r="BA48" s="11" t="n">
        <v>26.4568547220623</v>
      </c>
      <c r="BB48" s="11" t="n">
        <v>26.6267693946302</v>
      </c>
      <c r="BC48" s="11" t="n">
        <v>26.9627232818118</v>
      </c>
      <c r="BD48" s="11" t="n">
        <v>27.9626013217795</v>
      </c>
      <c r="BE48" s="11" t="n">
        <v>29.3353872222689</v>
      </c>
      <c r="BF48" s="11" t="n">
        <v>30.3680076433048</v>
      </c>
      <c r="BG48" s="11" t="n">
        <v>31.4158443487467</v>
      </c>
      <c r="BH48" s="11" t="n">
        <v>31.7608455605636</v>
      </c>
      <c r="BI48" s="11" t="n">
        <v>32.7561234177764</v>
      </c>
      <c r="BJ48" s="11" t="n">
        <v>33.691536366922</v>
      </c>
      <c r="BK48" s="11" t="n">
        <v>35.5703298129592</v>
      </c>
      <c r="BL48" s="11" t="n">
        <v>36.3502994443015</v>
      </c>
      <c r="BM48" s="11" t="n">
        <v>35.7691852402229</v>
      </c>
      <c r="BN48" s="11" t="n">
        <v>151.812396426462</v>
      </c>
      <c r="BO48" s="11" t="n">
        <v>111.093201107014</v>
      </c>
      <c r="BP48" s="11" t="n">
        <v>132.529663185814</v>
      </c>
      <c r="BQ48" s="11" t="n">
        <v>137.344335942553</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0.0709247278374883</v>
      </c>
      <c r="I49" s="11" t="n">
        <v>0.0742130274626892</v>
      </c>
      <c r="J49" s="11" t="n">
        <v>0.0748808413651573</v>
      </c>
      <c r="K49" s="11" t="n">
        <v>0.0758501153320661</v>
      </c>
      <c r="L49" s="11" t="n">
        <v>0.0732454613383986</v>
      </c>
      <c r="M49" s="11" t="n">
        <v>0.0774811747973583</v>
      </c>
      <c r="N49" s="11" t="n">
        <v>0.0793672420704025</v>
      </c>
      <c r="O49" s="11" t="n">
        <v>0.0846894349742251</v>
      </c>
      <c r="P49" s="11" t="n">
        <v>0.0917537201635203</v>
      </c>
      <c r="Q49" s="11" t="n">
        <v>0.0907429907796952</v>
      </c>
      <c r="R49" s="11" t="n">
        <v>0.0941428339572569</v>
      </c>
      <c r="S49" s="11" t="n">
        <v>0.0957489905159301</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0.211350425583012</v>
      </c>
      <c r="AE49" s="11" t="n">
        <v>0.220751805792713</v>
      </c>
      <c r="AF49" s="11" t="n">
        <v>0.222246360185227</v>
      </c>
      <c r="AG49" s="11" t="n">
        <v>0.249516926143695</v>
      </c>
      <c r="AH49" s="11" t="n">
        <v>0.272413021693873</v>
      </c>
      <c r="AI49" s="11" t="n">
        <v>0.274611055142342</v>
      </c>
      <c r="AJ49" s="11" t="n">
        <v>0.29493541718883</v>
      </c>
      <c r="AK49" s="11" t="n">
        <v>0.268806108474927</v>
      </c>
      <c r="AL49" s="11" t="n">
        <v>0.261550530209526</v>
      </c>
      <c r="AM49" s="11" t="n">
        <v>0.37970982641791</v>
      </c>
      <c r="AN49" s="11" t="n">
        <v>0.373108935960128</v>
      </c>
      <c r="AO49" s="11" t="n">
        <v>0.363157911470785</v>
      </c>
      <c r="AP49" s="11" t="n">
        <v>0.33582209111342</v>
      </c>
      <c r="AQ49" s="11" t="n">
        <v>0.24684935528534</v>
      </c>
      <c r="AR49" s="11" t="n">
        <v>0.240515478280531</v>
      </c>
      <c r="AS49" s="11" t="n">
        <v>0.22641870881805</v>
      </c>
      <c r="AT49" s="11" t="n">
        <v>0.224980587578906</v>
      </c>
      <c r="AU49" s="11" t="n">
        <v>0.181420507038002</v>
      </c>
      <c r="AV49" s="11" t="n">
        <v>0.182265443085538</v>
      </c>
      <c r="AW49" s="11" t="n">
        <v>0.182530298491965</v>
      </c>
      <c r="AX49" s="11" t="n">
        <v>0.159291283503516</v>
      </c>
      <c r="AY49" s="11" t="n">
        <v>0.155418489268978</v>
      </c>
      <c r="AZ49" s="11" t="n">
        <v>0.15017572653569</v>
      </c>
      <c r="BA49" s="11" t="n">
        <v>0.152398677567285</v>
      </c>
      <c r="BB49" s="11" t="n">
        <v>0.15290449468432</v>
      </c>
      <c r="BC49" s="11" t="n">
        <v>0.151919858534875</v>
      </c>
      <c r="BD49" s="11" t="n">
        <v>0.147477746003871</v>
      </c>
      <c r="BE49" s="11" t="n">
        <v>0.139608563227355</v>
      </c>
      <c r="BF49" s="11" t="n">
        <v>0.13683275811379</v>
      </c>
      <c r="BG49" s="11" t="n">
        <v>0.137476552138629</v>
      </c>
      <c r="BH49" s="11" t="n">
        <v>0.138244030190202</v>
      </c>
      <c r="BI49" s="11" t="n">
        <v>0.138874626881401</v>
      </c>
      <c r="BJ49" s="11" t="n">
        <v>0.139622949839228</v>
      </c>
      <c r="BK49" s="11" t="n">
        <v>0.140850737406683</v>
      </c>
      <c r="BL49" s="11" t="n">
        <v>0.141679002019245</v>
      </c>
      <c r="BM49" s="11" t="n">
        <v>0.141918494714061</v>
      </c>
      <c r="BN49" s="11" t="n">
        <v>1.71334929517177</v>
      </c>
      <c r="BO49" s="11" t="n">
        <v>1.12018463700083</v>
      </c>
      <c r="BP49" s="11" t="n">
        <v>0.829681240885688</v>
      </c>
      <c r="BQ49" s="11" t="n">
        <v>0.744309340017707</v>
      </c>
    </row>
    <row r="50" customFormat="false" ht="13.8" hidden="false" customHeight="false" outlineLevel="0" collapsed="false">
      <c r="A50" s="11" t="s">
        <v>156</v>
      </c>
      <c r="B50" s="11" t="s">
        <v>151</v>
      </c>
      <c r="C50" s="11" t="s">
        <v>139</v>
      </c>
      <c r="D50" s="12"/>
      <c r="E50" s="11" t="n">
        <v>0.984987691558184</v>
      </c>
      <c r="F50" s="11" t="n">
        <v>0.970048388417934</v>
      </c>
      <c r="G50" s="11" t="n">
        <v>0.910617933265949</v>
      </c>
      <c r="H50" s="11" t="n">
        <v>0.771978697012649</v>
      </c>
      <c r="I50" s="11" t="n">
        <v>0.737321268443208</v>
      </c>
      <c r="J50" s="11" t="n">
        <v>0.709397209019641</v>
      </c>
      <c r="K50" s="11" t="n">
        <v>0.6612887889585</v>
      </c>
      <c r="L50" s="11" t="n">
        <v>0.568914048515287</v>
      </c>
      <c r="M50" s="11" t="n">
        <v>0.586389592586241</v>
      </c>
      <c r="N50" s="11" t="n">
        <v>0.513498687002719</v>
      </c>
      <c r="O50" s="11" t="n">
        <v>0.574804572248271</v>
      </c>
      <c r="P50" s="11" t="n">
        <v>0.632355500344122</v>
      </c>
      <c r="Q50" s="11" t="n">
        <v>0.597481798965218</v>
      </c>
      <c r="R50" s="11" t="n">
        <v>0.652412845375287</v>
      </c>
      <c r="S50" s="11" t="n">
        <v>0.634687425943724</v>
      </c>
      <c r="T50" s="11" t="n">
        <v>0.672744029106066</v>
      </c>
      <c r="U50" s="11" t="n">
        <v>0.726225392133559</v>
      </c>
      <c r="V50" s="11" t="n">
        <v>0.673849210882455</v>
      </c>
      <c r="W50" s="11" t="n">
        <v>0.637459708292023</v>
      </c>
      <c r="X50" s="11" t="n">
        <v>0.548443507955348</v>
      </c>
      <c r="Y50" s="11" t="n">
        <v>0.577056570762781</v>
      </c>
      <c r="Z50" s="11" t="n">
        <v>0.580114063030645</v>
      </c>
      <c r="AA50" s="11" t="n">
        <v>0.739849019698221</v>
      </c>
      <c r="AB50" s="11" t="n">
        <v>0.714748016401048</v>
      </c>
      <c r="AC50" s="11" t="n">
        <v>0.62046564927776</v>
      </c>
      <c r="AD50" s="11" t="n">
        <v>0.568838988121384</v>
      </c>
      <c r="AE50" s="11" t="n">
        <v>0.39786726674901</v>
      </c>
      <c r="AF50" s="11" t="n">
        <v>0.365313374041686</v>
      </c>
      <c r="AG50" s="11" t="n">
        <v>0.377926428764218</v>
      </c>
      <c r="AH50" s="11" t="n">
        <v>0.368168520875392</v>
      </c>
      <c r="AI50" s="11" t="n">
        <v>0.365816544629617</v>
      </c>
      <c r="AJ50" s="11" t="n">
        <v>0.393674218221008</v>
      </c>
      <c r="AK50" s="11" t="n">
        <v>0.35714368175873</v>
      </c>
      <c r="AL50" s="11" t="n">
        <v>0.341045187738303</v>
      </c>
      <c r="AM50" s="11" t="n">
        <v>0.486334882072618</v>
      </c>
      <c r="AN50" s="11" t="n">
        <v>0.469121225898424</v>
      </c>
      <c r="AO50" s="11" t="n">
        <v>0.456946949767372</v>
      </c>
      <c r="AP50" s="11" t="n">
        <v>0.422881801570689</v>
      </c>
      <c r="AQ50" s="11" t="n">
        <v>0.311100244744339</v>
      </c>
      <c r="AR50" s="11" t="n">
        <v>0.302856903392871</v>
      </c>
      <c r="AS50" s="11" t="n">
        <v>0.284799224332671</v>
      </c>
      <c r="AT50" s="11" t="n">
        <v>0.28290503765868</v>
      </c>
      <c r="AU50" s="11" t="n">
        <v>0.227830949075716</v>
      </c>
      <c r="AV50" s="11" t="n">
        <v>0.228673383044793</v>
      </c>
      <c r="AW50" s="11" t="n">
        <v>0.228790820341412</v>
      </c>
      <c r="AX50" s="11" t="n">
        <v>0.199329430455428</v>
      </c>
      <c r="AY50" s="11" t="n">
        <v>0.194600205067086</v>
      </c>
      <c r="AZ50" s="11" t="n">
        <v>0.187996007189946</v>
      </c>
      <c r="BA50" s="11" t="n">
        <v>0.190759826468644</v>
      </c>
      <c r="BB50" s="11" t="n">
        <v>0.191352455815902</v>
      </c>
      <c r="BC50" s="11" t="n">
        <v>0.189996903025252</v>
      </c>
      <c r="BD50" s="11" t="n">
        <v>0.18422612560701</v>
      </c>
      <c r="BE50" s="11" t="n">
        <v>0.17406381683481</v>
      </c>
      <c r="BF50" s="11" t="n">
        <v>0.170351373574087</v>
      </c>
      <c r="BG50" s="11" t="n">
        <v>0.170861341178023</v>
      </c>
      <c r="BH50" s="11" t="n">
        <v>0.171474252926106</v>
      </c>
      <c r="BI50" s="11" t="n">
        <v>0.17212661342408</v>
      </c>
      <c r="BJ50" s="11" t="n">
        <v>0.172905829188632</v>
      </c>
      <c r="BK50" s="11" t="n">
        <v>0.174154655109538</v>
      </c>
      <c r="BL50" s="11" t="n">
        <v>0.174942016679645</v>
      </c>
      <c r="BM50" s="11" t="n">
        <v>0.175165528535873</v>
      </c>
      <c r="BN50" s="11" t="n">
        <v>2.17633004704741</v>
      </c>
      <c r="BO50" s="11" t="n">
        <v>1.40949235920428</v>
      </c>
      <c r="BP50" s="11" t="n">
        <v>1.03938984609866</v>
      </c>
      <c r="BQ50" s="11" t="n">
        <v>0.930399127751618</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71.8668526746167</v>
      </c>
      <c r="M52" s="11" t="n">
        <v>71.437171210827</v>
      </c>
      <c r="N52" s="11" t="n">
        <v>68.9718781335775</v>
      </c>
      <c r="O52" s="11" t="n">
        <v>66.1216312178532</v>
      </c>
      <c r="P52" s="11" t="n">
        <v>63.8864157779356</v>
      </c>
      <c r="Q52" s="11" t="n">
        <v>63.4236235102702</v>
      </c>
      <c r="R52" s="11" t="n">
        <v>59.9558712542823</v>
      </c>
      <c r="S52" s="11" t="n">
        <v>55.2688216322833</v>
      </c>
      <c r="T52" s="11" t="n">
        <v>52.9833963820738</v>
      </c>
      <c r="U52" s="11" t="n">
        <v>51.0954461139793</v>
      </c>
      <c r="V52" s="11" t="n">
        <v>47.3995206969938</v>
      </c>
      <c r="W52" s="11" t="n">
        <v>42.6149904906712</v>
      </c>
      <c r="X52" s="11" t="n">
        <v>38.5185777277248</v>
      </c>
      <c r="Y52" s="11" t="n">
        <v>33.2083199621817</v>
      </c>
      <c r="Z52" s="11" t="n">
        <v>30.8558884109676</v>
      </c>
      <c r="AA52" s="11" t="n">
        <v>29.1299107625631</v>
      </c>
      <c r="AB52" s="11" t="n">
        <v>25.716866743767</v>
      </c>
      <c r="AC52" s="11" t="n">
        <v>23.1953408858308</v>
      </c>
      <c r="AD52" s="11" t="n">
        <v>22.3648223414965</v>
      </c>
      <c r="AE52" s="11" t="n">
        <v>21.1547525779738</v>
      </c>
      <c r="AF52" s="11" t="n">
        <v>21.4242303804281</v>
      </c>
      <c r="AG52" s="11" t="n">
        <v>21.2945620332643</v>
      </c>
      <c r="AH52" s="11" t="n">
        <v>20.8253175246668</v>
      </c>
      <c r="AI52" s="11" t="n">
        <v>19.3011141759919</v>
      </c>
      <c r="AJ52" s="11" t="n">
        <v>18.1553437634056</v>
      </c>
      <c r="AK52" s="11" t="n">
        <v>18.0570091121117</v>
      </c>
      <c r="AL52" s="11" t="n">
        <v>17.8914413549416</v>
      </c>
      <c r="AM52" s="11" t="n">
        <v>17.0850291704747</v>
      </c>
      <c r="AN52" s="11" t="n">
        <v>16.7087434666579</v>
      </c>
      <c r="AO52" s="11" t="n">
        <v>16.2838710150735</v>
      </c>
      <c r="AP52" s="11" t="n">
        <v>16.5890651383816</v>
      </c>
      <c r="AQ52" s="11" t="n">
        <v>15.6118155960687</v>
      </c>
      <c r="AR52" s="11" t="n">
        <v>14.7518597278136</v>
      </c>
      <c r="AS52" s="11" t="n">
        <v>13.961434129156</v>
      </c>
      <c r="AT52" s="11" t="n">
        <v>13.2646876862591</v>
      </c>
      <c r="AU52" s="11" t="n">
        <v>12.6516465016031</v>
      </c>
      <c r="AV52" s="11" t="n">
        <v>12.1140842315233</v>
      </c>
      <c r="AW52" s="11" t="n">
        <v>11.6466433210186</v>
      </c>
      <c r="AX52" s="11" t="n">
        <v>11.2415414735956</v>
      </c>
      <c r="AY52" s="11" t="n">
        <v>10.8907584485973</v>
      </c>
      <c r="AZ52" s="11" t="n">
        <v>10.5865874968246</v>
      </c>
      <c r="BA52" s="11" t="n">
        <v>10.3249136396055</v>
      </c>
      <c r="BB52" s="11" t="n">
        <v>10.1020040487465</v>
      </c>
      <c r="BC52" s="11" t="n">
        <v>9.91471415800085</v>
      </c>
      <c r="BD52" s="11" t="n">
        <v>9.79662181413858</v>
      </c>
      <c r="BE52" s="11" t="n">
        <v>9.70809975879886</v>
      </c>
      <c r="BF52" s="11" t="n">
        <v>9.64669457071947</v>
      </c>
      <c r="BG52" s="11" t="n">
        <v>9.61017841441223</v>
      </c>
      <c r="BH52" s="11" t="n">
        <v>9.59728490216657</v>
      </c>
      <c r="BI52" s="11" t="n">
        <v>9.60471174816616</v>
      </c>
      <c r="BJ52" s="11" t="n">
        <v>9.6306070877834</v>
      </c>
      <c r="BK52" s="11" t="n">
        <v>9.67346437631095</v>
      </c>
      <c r="BL52" s="11" t="n">
        <v>9.73210212346832</v>
      </c>
      <c r="BM52" s="11" t="n">
        <v>9.80541975718671</v>
      </c>
      <c r="BN52" s="11" t="n">
        <v>84.5581501455294</v>
      </c>
      <c r="BO52" s="11" t="n">
        <v>70.2414436409005</v>
      </c>
      <c r="BP52" s="11" t="n">
        <v>56.4796149715593</v>
      </c>
      <c r="BQ52" s="11" t="n">
        <v>49.8463534192903</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0.914269940585073</v>
      </c>
      <c r="K53" s="11" t="n">
        <v>0.948977695066554</v>
      </c>
      <c r="L53" s="11" t="n">
        <v>0.960229133477018</v>
      </c>
      <c r="M53" s="11" t="n">
        <v>0.990264616022948</v>
      </c>
      <c r="N53" s="11" t="n">
        <v>0.9892457885681</v>
      </c>
      <c r="O53" s="11" t="n">
        <v>1.03182659578218</v>
      </c>
      <c r="P53" s="11" t="n">
        <v>1.01501682257822</v>
      </c>
      <c r="Q53" s="11" t="n">
        <v>1.03773758149955</v>
      </c>
      <c r="R53" s="11" t="n">
        <v>1.04726854425037</v>
      </c>
      <c r="S53" s="11" t="n">
        <v>1.05229317532329</v>
      </c>
      <c r="T53" s="11" t="n">
        <v>1.09134261724207</v>
      </c>
      <c r="U53" s="11" t="n">
        <v>1.11377060691125</v>
      </c>
      <c r="V53" s="11" t="n">
        <v>1.14055693363522</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1.51665579467754</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1.48301869718965</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42.2288913520804</v>
      </c>
      <c r="AO54" s="11" t="n">
        <v>41.6582474687507</v>
      </c>
      <c r="AP54" s="11" t="n">
        <v>41.4232899594643</v>
      </c>
      <c r="AQ54" s="11" t="n">
        <v>40.428974420412</v>
      </c>
      <c r="AR54" s="11" t="n">
        <v>40.6130050704505</v>
      </c>
      <c r="AS54" s="11" t="n">
        <v>39.5535571668619</v>
      </c>
      <c r="AT54" s="11" t="n">
        <v>39.4165234195861</v>
      </c>
      <c r="AU54" s="11" t="n">
        <v>39.0050466639079</v>
      </c>
      <c r="AV54" s="11" t="n">
        <v>38.2595859389943</v>
      </c>
      <c r="AW54" s="11" t="n">
        <v>37.6915756059216</v>
      </c>
      <c r="AX54" s="11" t="n">
        <v>37.4278423589332</v>
      </c>
      <c r="AY54" s="11" t="n">
        <v>36.7755920432489</v>
      </c>
      <c r="AZ54" s="11" t="n">
        <v>35.9678824020047</v>
      </c>
      <c r="BA54" s="11" t="n">
        <v>35.732666282829</v>
      </c>
      <c r="BB54" s="11" t="n">
        <v>35.6908669257692</v>
      </c>
      <c r="BC54" s="11" t="n">
        <v>35.3488661779356</v>
      </c>
      <c r="BD54" s="11" t="n">
        <v>35.7541524824524</v>
      </c>
      <c r="BE54" s="11" t="n">
        <v>36.2089587868169</v>
      </c>
      <c r="BF54" s="11" t="n">
        <v>36.0781978536959</v>
      </c>
      <c r="BG54" s="11" t="n">
        <v>35.7271440219095</v>
      </c>
      <c r="BH54" s="11" t="n">
        <v>35.2242896710436</v>
      </c>
      <c r="BI54" s="11" t="n">
        <v>34.6967217678238</v>
      </c>
      <c r="BJ54" s="11" t="n">
        <v>33.9596535751237</v>
      </c>
      <c r="BK54" s="11" t="n">
        <v>34.087836419241</v>
      </c>
      <c r="BL54" s="11" t="n">
        <v>32.9612599942669</v>
      </c>
      <c r="BM54" s="11" t="n">
        <v>32.3767773514855</v>
      </c>
      <c r="BN54" s="11" t="n">
        <v>206.373728403419</v>
      </c>
      <c r="BO54" s="11" t="n">
        <v>199.017106741218</v>
      </c>
      <c r="BP54" s="11" t="n">
        <v>186.122478349103</v>
      </c>
      <c r="BQ54" s="11" t="n">
        <v>178.735510655803</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0.00474313405100598</v>
      </c>
      <c r="AO55" s="11" t="n">
        <v>0.00468237408964354</v>
      </c>
      <c r="AP55" s="11" t="n">
        <v>0.00464198352258129</v>
      </c>
      <c r="AQ55" s="11" t="n">
        <v>0.00454841862706195</v>
      </c>
      <c r="AR55" s="11" t="n">
        <v>0.00454334850115866</v>
      </c>
      <c r="AS55" s="11" t="n">
        <v>0.00444656194715972</v>
      </c>
      <c r="AT55" s="11" t="n">
        <v>0.00441837388034424</v>
      </c>
      <c r="AU55" s="11" t="n">
        <v>0.00437242616527579</v>
      </c>
      <c r="AV55" s="11" t="n">
        <v>0.00429988208804089</v>
      </c>
      <c r="AW55" s="11" t="n">
        <v>0.00424013386387575</v>
      </c>
      <c r="AX55" s="11" t="n">
        <v>0.00420792380633879</v>
      </c>
      <c r="AY55" s="11" t="n">
        <v>0.00415253786962033</v>
      </c>
      <c r="AZ55" s="11" t="n">
        <v>0.00408610439703055</v>
      </c>
      <c r="BA55" s="11" t="n">
        <v>0.00405500587984715</v>
      </c>
      <c r="BB55" s="11" t="n">
        <v>0.00404147794685424</v>
      </c>
      <c r="BC55" s="11" t="n">
        <v>0.0040018981204286</v>
      </c>
      <c r="BD55" s="11" t="n">
        <v>0.00401435383213797</v>
      </c>
      <c r="BE55" s="11" t="n">
        <v>0.00402860776784216</v>
      </c>
      <c r="BF55" s="11" t="n">
        <v>0.00395021096012306</v>
      </c>
      <c r="BG55" s="11" t="n">
        <v>0.0038514806103857</v>
      </c>
      <c r="BH55" s="11" t="n">
        <v>0.00374197641188411</v>
      </c>
      <c r="BI55" s="11" t="n">
        <v>0.00363178189451502</v>
      </c>
      <c r="BJ55" s="11" t="n">
        <v>0.00350611892215544</v>
      </c>
      <c r="BK55" s="11" t="n">
        <v>0.00344429576028333</v>
      </c>
      <c r="BL55" s="11" t="n">
        <v>0.00329509366200942</v>
      </c>
      <c r="BM55" s="11" t="n">
        <v>0.00318908124334813</v>
      </c>
      <c r="BN55" s="11" t="n">
        <v>0.0234325278323243</v>
      </c>
      <c r="BO55" s="11" t="n">
        <v>0.0223291291210004</v>
      </c>
      <c r="BP55" s="11" t="n">
        <v>0.0209865820249063</v>
      </c>
      <c r="BQ55" s="11" t="n">
        <v>0.0201413435471101</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0.380232744530223</v>
      </c>
      <c r="AO56" s="11" t="n">
        <v>0.375137780513571</v>
      </c>
      <c r="AP56" s="11" t="n">
        <v>0.372840972742352</v>
      </c>
      <c r="AQ56" s="11" t="n">
        <v>0.364122576331786</v>
      </c>
      <c r="AR56" s="11" t="n">
        <v>0.365446402462045</v>
      </c>
      <c r="AS56" s="11" t="n">
        <v>0.356194543926753</v>
      </c>
      <c r="AT56" s="11" t="n">
        <v>0.3547950326072</v>
      </c>
      <c r="AU56" s="11" t="n">
        <v>0.351093543628337</v>
      </c>
      <c r="AV56" s="11" t="n">
        <v>0.34452614535458</v>
      </c>
      <c r="AW56" s="11" t="n">
        <v>0.339464161686419</v>
      </c>
      <c r="AX56" s="11" t="n">
        <v>0.337055987531886</v>
      </c>
      <c r="AY56" s="11" t="n">
        <v>0.331414448675482</v>
      </c>
      <c r="AZ56" s="11" t="n">
        <v>0.324456162392182</v>
      </c>
      <c r="BA56" s="11" t="n">
        <v>0.32227768520112</v>
      </c>
      <c r="BB56" s="11" t="n">
        <v>0.321786978608835</v>
      </c>
      <c r="BC56" s="11" t="n">
        <v>0.318692473994207</v>
      </c>
      <c r="BD56" s="11" t="n">
        <v>0.321913679084962</v>
      </c>
      <c r="BE56" s="11" t="n">
        <v>0.325532044746</v>
      </c>
      <c r="BF56" s="11" t="n">
        <v>0.32352995522848</v>
      </c>
      <c r="BG56" s="11" t="n">
        <v>0.319601410704722</v>
      </c>
      <c r="BH56" s="11" t="n">
        <v>0.314387286070074</v>
      </c>
      <c r="BI56" s="11" t="n">
        <v>0.308977634607737</v>
      </c>
      <c r="BJ56" s="11" t="n">
        <v>0.301785991133984</v>
      </c>
      <c r="BK56" s="11" t="n">
        <v>0.301953505390816</v>
      </c>
      <c r="BL56" s="11" t="n">
        <v>0.291516311656666</v>
      </c>
      <c r="BM56" s="11" t="n">
        <v>0.285731081979633</v>
      </c>
      <c r="BN56" s="11" t="n">
        <v>1.86147884187647</v>
      </c>
      <c r="BO56" s="11" t="n">
        <v>1.79165209895612</v>
      </c>
      <c r="BP56" s="11" t="n">
        <v>1.67691690564055</v>
      </c>
      <c r="BQ56" s="11" t="n">
        <v>1.61020286163512</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164</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447.51561627128</v>
      </c>
      <c r="AI4" s="11" t="n">
        <v>407.975238765153</v>
      </c>
      <c r="AJ4" s="11" t="n">
        <v>422.475570116601</v>
      </c>
      <c r="AK4" s="11" t="n">
        <v>404.682267986786</v>
      </c>
      <c r="AL4" s="11" t="n">
        <v>384.972556090126</v>
      </c>
      <c r="AM4" s="11" t="n">
        <v>371.759487375243</v>
      </c>
      <c r="AN4" s="11" t="n">
        <v>363.460347183583</v>
      </c>
      <c r="AO4" s="11" t="n">
        <v>355.908173762255</v>
      </c>
      <c r="AP4" s="11" t="n">
        <v>349.729134873291</v>
      </c>
      <c r="AQ4" s="11" t="n">
        <v>342.323064570128</v>
      </c>
      <c r="AR4" s="11" t="n">
        <v>335.684581423838</v>
      </c>
      <c r="AS4" s="11" t="n">
        <v>329.347140196106</v>
      </c>
      <c r="AT4" s="11" t="n">
        <v>322.425869167464</v>
      </c>
      <c r="AU4" s="11" t="n">
        <v>316.875937770599</v>
      </c>
      <c r="AV4" s="11" t="n">
        <v>312.706899597398</v>
      </c>
      <c r="AW4" s="11" t="n">
        <v>309.498018929461</v>
      </c>
      <c r="AX4" s="11" t="n">
        <v>306.676416100051</v>
      </c>
      <c r="AY4" s="11" t="n">
        <v>300.950490013445</v>
      </c>
      <c r="AZ4" s="11" t="n">
        <v>297.689916199259</v>
      </c>
      <c r="BA4" s="11" t="n">
        <v>295.429810947964</v>
      </c>
      <c r="BB4" s="11" t="n">
        <v>293.340141740767</v>
      </c>
      <c r="BC4" s="11" t="n">
        <v>292.385232087854</v>
      </c>
      <c r="BD4" s="11" t="n">
        <v>292.413241034652</v>
      </c>
      <c r="BE4" s="11" t="n">
        <v>292.342427084637</v>
      </c>
      <c r="BF4" s="11" t="n">
        <v>292.850457735241</v>
      </c>
      <c r="BG4" s="11" t="n">
        <v>293.785616124067</v>
      </c>
      <c r="BH4" s="11" t="n">
        <v>294.343035053903</v>
      </c>
      <c r="BI4" s="11" t="n">
        <v>295.411345151742</v>
      </c>
      <c r="BJ4" s="11" t="n">
        <v>296.502139664261</v>
      </c>
      <c r="BK4" s="11" t="n">
        <v>298.177683815797</v>
      </c>
      <c r="BL4" s="11" t="n">
        <v>296.262010938359</v>
      </c>
      <c r="BM4" s="11" t="n">
        <v>292.662451424616</v>
      </c>
      <c r="BN4" s="11" t="n">
        <v>1825.8296992845</v>
      </c>
      <c r="BO4" s="11" t="n">
        <v>1646.65659312814</v>
      </c>
      <c r="BP4" s="11" t="n">
        <v>1527.52174083961</v>
      </c>
      <c r="BQ4" s="11" t="n">
        <v>1465.91085289587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406.188303904461</v>
      </c>
      <c r="AO5" s="11" t="n">
        <v>398.173515368809</v>
      </c>
      <c r="AP5" s="11" t="n">
        <v>391.873970649836</v>
      </c>
      <c r="AQ5" s="11" t="n">
        <v>383.574116708696</v>
      </c>
      <c r="AR5" s="11" t="n">
        <v>377.24699196957</v>
      </c>
      <c r="AS5" s="11" t="n">
        <v>369.947213542784</v>
      </c>
      <c r="AT5" s="11" t="n">
        <v>363.004864386246</v>
      </c>
      <c r="AU5" s="11" t="n">
        <v>357.15297658668</v>
      </c>
      <c r="AV5" s="11" t="n">
        <v>352.334691889188</v>
      </c>
      <c r="AW5" s="11" t="n">
        <v>348.659175684316</v>
      </c>
      <c r="AX5" s="11" t="n">
        <v>345.691058361038</v>
      </c>
      <c r="AY5" s="11" t="n">
        <v>339.413597706412</v>
      </c>
      <c r="AZ5" s="11" t="n">
        <v>335.43631383392</v>
      </c>
      <c r="BA5" s="11" t="n">
        <v>333.064784187444</v>
      </c>
      <c r="BB5" s="11" t="n">
        <v>331.071881121129</v>
      </c>
      <c r="BC5" s="11" t="n">
        <v>329.898338661926</v>
      </c>
      <c r="BD5" s="11" t="n">
        <v>330.476046805083</v>
      </c>
      <c r="BE5" s="11" t="n">
        <v>331.011435771354</v>
      </c>
      <c r="BF5" s="11" t="n">
        <v>331.508464014611</v>
      </c>
      <c r="BG5" s="11" t="n">
        <v>332.195327253798</v>
      </c>
      <c r="BH5" s="11" t="n">
        <v>332.338281391243</v>
      </c>
      <c r="BI5" s="11" t="n">
        <v>332.962307858401</v>
      </c>
      <c r="BJ5" s="11" t="n">
        <v>333.376870940716</v>
      </c>
      <c r="BK5" s="11" t="n">
        <v>335.3226813485</v>
      </c>
      <c r="BL5" s="11" t="n">
        <v>332.295312649194</v>
      </c>
      <c r="BM5" s="11" t="n">
        <v>328.175097002521</v>
      </c>
      <c r="BN5" s="11" t="n">
        <v>2034.77376539186</v>
      </c>
      <c r="BO5" s="11" t="n">
        <v>1850.92616319398</v>
      </c>
      <c r="BP5" s="11" t="n">
        <v>1721.53483747487</v>
      </c>
      <c r="BQ5" s="11" t="n">
        <v>1655.52248654693</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363.460347183583</v>
      </c>
      <c r="AO6" s="11" t="n">
        <v>355.908173762255</v>
      </c>
      <c r="AP6" s="11" t="n">
        <v>349.729134873291</v>
      </c>
      <c r="AQ6" s="11" t="n">
        <v>342.323064570128</v>
      </c>
      <c r="AR6" s="11" t="n">
        <v>335.684581423838</v>
      </c>
      <c r="AS6" s="11" t="n">
        <v>329.347140196106</v>
      </c>
      <c r="AT6" s="11" t="n">
        <v>322.425869167464</v>
      </c>
      <c r="AU6" s="11" t="n">
        <v>316.875937770599</v>
      </c>
      <c r="AV6" s="11" t="n">
        <v>352.334691889188</v>
      </c>
      <c r="AW6" s="11" t="n">
        <v>348.659175684316</v>
      </c>
      <c r="AX6" s="11" t="n">
        <v>345.691058361038</v>
      </c>
      <c r="AY6" s="11" t="n">
        <v>339.413597706412</v>
      </c>
      <c r="AZ6" s="11" t="n">
        <v>335.43631383392</v>
      </c>
      <c r="BA6" s="11"/>
      <c r="BB6" s="11"/>
      <c r="BC6" s="11"/>
      <c r="BD6" s="11"/>
      <c r="BE6" s="11"/>
      <c r="BF6" s="11"/>
      <c r="BG6" s="11"/>
      <c r="BH6" s="11"/>
      <c r="BI6" s="11"/>
      <c r="BJ6" s="11"/>
      <c r="BK6" s="11"/>
      <c r="BL6" s="11"/>
      <c r="BM6" s="11"/>
      <c r="BN6" s="11" t="n">
        <v>1825.8296992845</v>
      </c>
      <c r="BO6" s="11" t="n">
        <v>1646.65659312814</v>
      </c>
      <c r="BP6" s="11" t="n">
        <v>1721.53483747487</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363.460347183583</v>
      </c>
      <c r="AO7" s="11" t="n">
        <v>355.908173762255</v>
      </c>
      <c r="AP7" s="11" t="n">
        <v>349.729134873291</v>
      </c>
      <c r="AQ7" s="11" t="n">
        <v>342.323064570128</v>
      </c>
      <c r="AR7" s="11" t="n">
        <v>335.684581423838</v>
      </c>
      <c r="AS7" s="11" t="n">
        <v>329.347140196106</v>
      </c>
      <c r="AT7" s="11" t="n">
        <v>322.425869167464</v>
      </c>
      <c r="AU7" s="11" t="n">
        <v>316.875937770599</v>
      </c>
      <c r="AV7" s="11"/>
      <c r="AW7" s="11"/>
      <c r="AX7" s="11"/>
      <c r="AY7" s="11"/>
      <c r="AZ7" s="11"/>
      <c r="BA7" s="11"/>
      <c r="BB7" s="11"/>
      <c r="BC7" s="11"/>
      <c r="BD7" s="11"/>
      <c r="BE7" s="11"/>
      <c r="BF7" s="11"/>
      <c r="BG7" s="11"/>
      <c r="BH7" s="11"/>
      <c r="BI7" s="11"/>
      <c r="BJ7" s="11"/>
      <c r="BK7" s="11"/>
      <c r="BL7" s="11"/>
      <c r="BM7" s="11"/>
      <c r="BN7" s="11" t="n">
        <v>1825.8296992845</v>
      </c>
      <c r="BO7" s="11" t="n">
        <v>1646.65659312814</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352.334691889188</v>
      </c>
      <c r="AW8" s="11" t="n">
        <v>348.659175684316</v>
      </c>
      <c r="AX8" s="11" t="n">
        <v>345.691058361038</v>
      </c>
      <c r="AY8" s="11" t="n">
        <v>339.413597706412</v>
      </c>
      <c r="AZ8" s="11" t="n">
        <v>335.43631383392</v>
      </c>
      <c r="BA8" s="11"/>
      <c r="BB8" s="11"/>
      <c r="BC8" s="11"/>
      <c r="BD8" s="11"/>
      <c r="BE8" s="11"/>
      <c r="BF8" s="11"/>
      <c r="BG8" s="11"/>
      <c r="BH8" s="11"/>
      <c r="BI8" s="11"/>
      <c r="BJ8" s="11"/>
      <c r="BK8" s="11"/>
      <c r="BL8" s="11"/>
      <c r="BM8" s="11"/>
      <c r="BN8" s="11"/>
      <c r="BO8" s="11"/>
      <c r="BP8" s="11" t="n">
        <v>1721.53483747487</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87.6506423572419</v>
      </c>
      <c r="AI10" s="11" t="n">
        <v>87.9661491234385</v>
      </c>
      <c r="AJ10" s="11" t="n">
        <v>92.9532506574566</v>
      </c>
      <c r="AK10" s="11" t="n">
        <v>78.6740673305288</v>
      </c>
      <c r="AL10" s="11" t="n">
        <v>74.0601097199175</v>
      </c>
      <c r="AM10" s="11" t="n">
        <v>76.8964500445979</v>
      </c>
      <c r="AN10" s="11" t="n">
        <v>79.9713837386905</v>
      </c>
      <c r="AO10" s="11" t="n">
        <v>79.7835623880209</v>
      </c>
      <c r="AP10" s="11" t="n">
        <v>79.6311172487813</v>
      </c>
      <c r="AQ10" s="11" t="n">
        <v>79.3491634973936</v>
      </c>
      <c r="AR10" s="11" t="n">
        <v>79.4105442930507</v>
      </c>
      <c r="AS10" s="11" t="n">
        <v>79.236784729523</v>
      </c>
      <c r="AT10" s="11" t="n">
        <v>79.2186472393568</v>
      </c>
      <c r="AU10" s="11" t="n">
        <v>79.200852629766</v>
      </c>
      <c r="AV10" s="11" t="n">
        <v>79.2328660615824</v>
      </c>
      <c r="AW10" s="11" t="n">
        <v>79.2853229170239</v>
      </c>
      <c r="AX10" s="11" t="n">
        <v>79.3820783751769</v>
      </c>
      <c r="AY10" s="11" t="n">
        <v>79.8545089548798</v>
      </c>
      <c r="AZ10" s="11" t="n">
        <v>80.0033920486912</v>
      </c>
      <c r="BA10" s="11" t="n">
        <v>80.2620709380319</v>
      </c>
      <c r="BB10" s="11" t="n">
        <v>80.5314546622722</v>
      </c>
      <c r="BC10" s="11" t="n">
        <v>80.8425156168963</v>
      </c>
      <c r="BD10" s="11" t="n">
        <v>81.2373236624033</v>
      </c>
      <c r="BE10" s="11" t="n">
        <v>81.4753322305287</v>
      </c>
      <c r="BF10" s="11" t="n">
        <v>81.6465893536257</v>
      </c>
      <c r="BG10" s="11" t="n">
        <v>82.0139718742993</v>
      </c>
      <c r="BH10" s="11" t="n">
        <v>82.0426651691282</v>
      </c>
      <c r="BI10" s="11" t="n">
        <v>82.1713091456647</v>
      </c>
      <c r="BJ10" s="11" t="n">
        <v>82.4422986172731</v>
      </c>
      <c r="BK10" s="11" t="n">
        <v>82.5289990101183</v>
      </c>
      <c r="BL10" s="11" t="n">
        <v>82.5338790463329</v>
      </c>
      <c r="BM10" s="11" t="n">
        <v>82.5328427045012</v>
      </c>
      <c r="BN10" s="11" t="n">
        <v>390.342623140008</v>
      </c>
      <c r="BO10" s="11" t="n">
        <v>396.41599238909</v>
      </c>
      <c r="BP10" s="11" t="n">
        <v>397.758168357354</v>
      </c>
      <c r="BQ10" s="11" t="n">
        <v>404.348697110132</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115.196756272998</v>
      </c>
      <c r="AO11" s="11" t="n">
        <v>112.50499326472</v>
      </c>
      <c r="AP11" s="11" t="n">
        <v>109.611751067172</v>
      </c>
      <c r="AQ11" s="11" t="n">
        <v>105.384182727985</v>
      </c>
      <c r="AR11" s="11" t="n">
        <v>100.303293246256</v>
      </c>
      <c r="AS11" s="11" t="n">
        <v>94.1939122130768</v>
      </c>
      <c r="AT11" s="11" t="n">
        <v>88.5855990047845</v>
      </c>
      <c r="AU11" s="11" t="n">
        <v>83.3930924575141</v>
      </c>
      <c r="AV11" s="11" t="n">
        <v>78.9091099157492</v>
      </c>
      <c r="AW11" s="11" t="n">
        <v>74.9094353152702</v>
      </c>
      <c r="AX11" s="11" t="n">
        <v>71.418278956648</v>
      </c>
      <c r="AY11" s="11" t="n">
        <v>68.2536209002405</v>
      </c>
      <c r="AZ11" s="11" t="n">
        <v>65.4100284111032</v>
      </c>
      <c r="BA11" s="11" t="n">
        <v>62.8977819441674</v>
      </c>
      <c r="BB11" s="11" t="n">
        <v>60.742307724973</v>
      </c>
      <c r="BC11" s="11" t="n">
        <v>58.7745252619476</v>
      </c>
      <c r="BD11" s="11" t="n">
        <v>57.1394745016945</v>
      </c>
      <c r="BE11" s="11" t="n">
        <v>55.6993244871102</v>
      </c>
      <c r="BF11" s="11" t="n">
        <v>54.5726976895569</v>
      </c>
      <c r="BG11" s="11" t="n">
        <v>53.589193215052</v>
      </c>
      <c r="BH11" s="11" t="n">
        <v>52.7591711531401</v>
      </c>
      <c r="BI11" s="11" t="n">
        <v>52.1287477810129</v>
      </c>
      <c r="BJ11" s="11" t="n">
        <v>51.5889718511143</v>
      </c>
      <c r="BK11" s="11" t="n">
        <v>51.2906386276101</v>
      </c>
      <c r="BL11" s="11" t="n">
        <v>50.9902970533673</v>
      </c>
      <c r="BM11" s="11" t="n">
        <v>50.7620676666222</v>
      </c>
      <c r="BN11" s="11" t="n">
        <v>558.58112787323</v>
      </c>
      <c r="BO11" s="11" t="n">
        <v>471.860079649617</v>
      </c>
      <c r="BP11" s="11" t="n">
        <v>358.900473499011</v>
      </c>
      <c r="BQ11" s="11" t="n">
        <v>295.253413919893</v>
      </c>
    </row>
    <row r="12" customFormat="false" ht="13.8" hidden="false" customHeight="false" outlineLevel="0" collapsed="false">
      <c r="A12" s="11" t="s">
        <v>137</v>
      </c>
      <c r="B12" s="11" t="s">
        <v>147</v>
      </c>
      <c r="C12" s="11" t="s">
        <v>139</v>
      </c>
      <c r="D12" s="12"/>
      <c r="E12" s="11" t="n">
        <v>14.7877929691883</v>
      </c>
      <c r="F12" s="11" t="n">
        <v>15.1074685752626</v>
      </c>
      <c r="G12" s="11" t="n">
        <v>15.048263855421</v>
      </c>
      <c r="H12" s="11" t="n">
        <v>15.4393606194209</v>
      </c>
      <c r="I12" s="11" t="n">
        <v>16.2460055865244</v>
      </c>
      <c r="J12" s="11" t="n">
        <v>17.3106292243496</v>
      </c>
      <c r="K12" s="11" t="n">
        <v>18.0794444117165</v>
      </c>
      <c r="L12" s="11" t="n">
        <v>19.7762861133536</v>
      </c>
      <c r="M12" s="11" t="n">
        <v>16.7045015612936</v>
      </c>
      <c r="N12" s="11" t="n">
        <v>9.90829358971171</v>
      </c>
      <c r="O12" s="11" t="n">
        <v>8.74166413230262</v>
      </c>
      <c r="P12" s="11" t="n">
        <v>8.96060646846771</v>
      </c>
      <c r="Q12" s="11" t="n">
        <v>9.34796390566103</v>
      </c>
      <c r="R12" s="11" t="n">
        <v>9.91148119417866</v>
      </c>
      <c r="S12" s="11" t="n">
        <v>8.89494250946247</v>
      </c>
      <c r="T12" s="11" t="n">
        <v>9.5209712784328</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9.68541080398269</v>
      </c>
      <c r="AI12" s="11" t="n">
        <v>8.74353063685975</v>
      </c>
      <c r="AJ12" s="11" t="n">
        <v>8.16632698358806</v>
      </c>
      <c r="AK12" s="11" t="n">
        <v>7.55416736500505</v>
      </c>
      <c r="AL12" s="11" t="n">
        <v>7.04466698153908</v>
      </c>
      <c r="AM12" s="11" t="n">
        <v>6.61216432469942</v>
      </c>
      <c r="AN12" s="11" t="n">
        <v>6.26198481466507</v>
      </c>
      <c r="AO12" s="11" t="n">
        <v>5.9345486980428</v>
      </c>
      <c r="AP12" s="11" t="n">
        <v>5.62528837859824</v>
      </c>
      <c r="AQ12" s="11" t="n">
        <v>5.326849896076</v>
      </c>
      <c r="AR12" s="11" t="n">
        <v>5.05583262880687</v>
      </c>
      <c r="AS12" s="11" t="n">
        <v>4.82194424780008</v>
      </c>
      <c r="AT12" s="11" t="n">
        <v>4.61366583925396</v>
      </c>
      <c r="AU12" s="11" t="n">
        <v>4.41350101904454</v>
      </c>
      <c r="AV12" s="11" t="n">
        <v>4.23790151027039</v>
      </c>
      <c r="AW12" s="11" t="n">
        <v>4.07510202245846</v>
      </c>
      <c r="AX12" s="11" t="n">
        <v>3.92752251100253</v>
      </c>
      <c r="AY12" s="11" t="n">
        <v>3.79332865207698</v>
      </c>
      <c r="AZ12" s="11" t="n">
        <v>3.68721875777365</v>
      </c>
      <c r="BA12" s="11" t="n">
        <v>3.60898213485854</v>
      </c>
      <c r="BB12" s="11" t="n">
        <v>3.57479384362746</v>
      </c>
      <c r="BC12" s="11" t="n">
        <v>3.56291385672629</v>
      </c>
      <c r="BD12" s="11" t="n">
        <v>3.56542120647121</v>
      </c>
      <c r="BE12" s="11" t="n">
        <v>3.58036938460624</v>
      </c>
      <c r="BF12" s="11" t="n">
        <v>3.6048385694218</v>
      </c>
      <c r="BG12" s="11" t="n">
        <v>3.63707830122404</v>
      </c>
      <c r="BH12" s="11" t="n">
        <v>3.67524677841862</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60.1841046564571</v>
      </c>
      <c r="H13" s="11" t="n">
        <v>58.9674567061176</v>
      </c>
      <c r="I13" s="11" t="n">
        <v>51.9755160115748</v>
      </c>
      <c r="J13" s="11" t="n">
        <v>54.6368157177593</v>
      </c>
      <c r="K13" s="11" t="n">
        <v>53.9628451509152</v>
      </c>
      <c r="L13" s="11" t="n">
        <v>52.19875606945</v>
      </c>
      <c r="M13" s="11" t="n">
        <v>51.0085474737028</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17.9682740212774</v>
      </c>
      <c r="AO13" s="11" t="n">
        <v>17.1076589888663</v>
      </c>
      <c r="AP13" s="11" t="n">
        <v>16.5641799118225</v>
      </c>
      <c r="AQ13" s="11" t="n">
        <v>15.9308958643442</v>
      </c>
      <c r="AR13" s="11" t="n">
        <v>15.3025358369481</v>
      </c>
      <c r="AS13" s="11" t="n">
        <v>14.3826183510842</v>
      </c>
      <c r="AT13" s="11" t="n">
        <v>13.3521092840239</v>
      </c>
      <c r="AU13" s="11" t="n">
        <v>12.8480756942348</v>
      </c>
      <c r="AV13" s="11" t="n">
        <v>12.0754593247136</v>
      </c>
      <c r="AW13" s="11" t="n">
        <v>11.9164755026352</v>
      </c>
      <c r="AX13" s="11" t="n">
        <v>11.7105395151624</v>
      </c>
      <c r="AY13" s="11" t="n">
        <v>9.95384909742838</v>
      </c>
      <c r="AZ13" s="11" t="n">
        <v>9.6580838861243</v>
      </c>
      <c r="BA13" s="11" t="n">
        <v>9.28989582383557</v>
      </c>
      <c r="BB13" s="11" t="n">
        <v>8.63030921532794</v>
      </c>
      <c r="BC13" s="11" t="n">
        <v>8.4181627482345</v>
      </c>
      <c r="BD13" s="11" t="n">
        <v>7.20668693109373</v>
      </c>
      <c r="BE13" s="11" t="n">
        <v>6.45490095751888</v>
      </c>
      <c r="BF13" s="11" t="n">
        <v>6.20705217410405</v>
      </c>
      <c r="BG13" s="11" t="n">
        <v>6.20024907424488</v>
      </c>
      <c r="BH13" s="11" t="n">
        <v>6.18517782483483</v>
      </c>
      <c r="BI13" s="11" t="n">
        <v>6.18958194038067</v>
      </c>
      <c r="BJ13" s="11" t="n">
        <v>6.17371158460283</v>
      </c>
      <c r="BK13" s="11" t="n">
        <v>5.87930670286175</v>
      </c>
      <c r="BL13" s="11" t="n">
        <v>5.54783759473122</v>
      </c>
      <c r="BM13" s="11" t="n">
        <v>5.40303349302193</v>
      </c>
      <c r="BN13" s="11" t="n">
        <v>88.6581983555081</v>
      </c>
      <c r="BO13" s="11" t="n">
        <v>71.8162350306353</v>
      </c>
      <c r="BP13" s="11" t="n">
        <v>55.3144073260639</v>
      </c>
      <c r="BQ13" s="11" t="n">
        <v>39.9999556760106</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54.4634888475166</v>
      </c>
      <c r="AN14" s="11" t="n">
        <v>52.5658309336129</v>
      </c>
      <c r="AO14" s="11" t="n">
        <v>51.793713839826</v>
      </c>
      <c r="AP14" s="11" t="n">
        <v>51.6578786918778</v>
      </c>
      <c r="AQ14" s="11" t="n">
        <v>51.3959578851202</v>
      </c>
      <c r="AR14" s="11" t="n">
        <v>51.1580517773177</v>
      </c>
      <c r="AS14" s="11" t="n">
        <v>50.828769206017</v>
      </c>
      <c r="AT14" s="11" t="n">
        <v>50.7105841578484</v>
      </c>
      <c r="AU14" s="11" t="n">
        <v>50.6725528025855</v>
      </c>
      <c r="AV14" s="11" t="n">
        <v>50.6375483477392</v>
      </c>
      <c r="AW14" s="11" t="n">
        <v>50.3664647365106</v>
      </c>
      <c r="AX14" s="11" t="n">
        <v>50.2964073766208</v>
      </c>
      <c r="AY14" s="11" t="n">
        <v>50.2637989296095</v>
      </c>
      <c r="AZ14" s="11" t="n">
        <v>50.4929352447405</v>
      </c>
      <c r="BA14" s="11" t="n">
        <v>50.6148069242536</v>
      </c>
      <c r="BB14" s="11" t="n">
        <v>50.9153463481517</v>
      </c>
      <c r="BC14" s="11" t="n">
        <v>51.5596370712202</v>
      </c>
      <c r="BD14" s="11" t="n">
        <v>52.4745950054719</v>
      </c>
      <c r="BE14" s="11" t="n">
        <v>52.8216873660988</v>
      </c>
      <c r="BF14" s="11" t="n">
        <v>53.3050196894485</v>
      </c>
      <c r="BG14" s="11" t="n">
        <v>53.7486279069857</v>
      </c>
      <c r="BH14" s="11" t="n">
        <v>54.3029464420815</v>
      </c>
      <c r="BI14" s="11" t="n">
        <v>54.9292532379914</v>
      </c>
      <c r="BJ14" s="11" t="n">
        <v>55.4195949860117</v>
      </c>
      <c r="BK14" s="11" t="n">
        <v>56.0992473573901</v>
      </c>
      <c r="BL14" s="11" t="n">
        <v>56.6085481943102</v>
      </c>
      <c r="BM14" s="11" t="n">
        <v>57.2651917895848</v>
      </c>
      <c r="BN14" s="11" t="n">
        <v>274.568427821799</v>
      </c>
      <c r="BO14" s="11" t="n">
        <v>254.765915828889</v>
      </c>
      <c r="BP14" s="11" t="n">
        <v>252.057154635221</v>
      </c>
      <c r="BQ14" s="11" t="n">
        <v>258.386072715196</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7.29888881565863</v>
      </c>
      <c r="L15" s="11" t="n">
        <v>6.74965008724044</v>
      </c>
      <c r="M15" s="11" t="n">
        <v>5.96165299469253</v>
      </c>
      <c r="N15" s="11" t="n">
        <v>6.07622611866308</v>
      </c>
      <c r="O15" s="11" t="n">
        <v>5.8165000617974</v>
      </c>
      <c r="P15" s="11" t="n">
        <v>5.17351914195232</v>
      </c>
      <c r="Q15" s="11" t="n">
        <v>4.3457864800215</v>
      </c>
      <c r="R15" s="11" t="n">
        <v>4.18559867581597</v>
      </c>
      <c r="S15" s="11" t="n">
        <v>3.32599036920681</v>
      </c>
      <c r="T15" s="11" t="n">
        <v>2.9562338693275</v>
      </c>
      <c r="U15" s="11" t="n">
        <v>2.53705519258907</v>
      </c>
      <c r="V15" s="11" t="n">
        <v>1.91003713291075</v>
      </c>
      <c r="W15" s="11" t="n">
        <v>1.22774903416888</v>
      </c>
      <c r="X15" s="11" t="n">
        <v>1.13558384043056</v>
      </c>
      <c r="Y15" s="11" t="n">
        <v>1.05006812917393</v>
      </c>
      <c r="Z15" s="11" t="n">
        <v>0.403891460082564</v>
      </c>
      <c r="AA15" s="11" t="n">
        <v>0.505346373580899</v>
      </c>
      <c r="AB15" s="11" t="n">
        <v>0.398968456201681</v>
      </c>
      <c r="AC15" s="11" t="n">
        <v>0.0720308545919073</v>
      </c>
      <c r="AD15" s="11" t="n">
        <v>-0.0617161466723142</v>
      </c>
      <c r="AE15" s="11" t="n">
        <v>0.295045210907603</v>
      </c>
      <c r="AF15" s="11" t="n">
        <v>0.0212098248235195</v>
      </c>
      <c r="AG15" s="11" t="n">
        <v>0.684754591408554</v>
      </c>
      <c r="AH15" s="11" t="n">
        <v>0.551649018647838</v>
      </c>
      <c r="AI15" s="11" t="n">
        <v>0.401275637288966</v>
      </c>
      <c r="AJ15" s="11" t="n">
        <v>0.235021339974388</v>
      </c>
      <c r="AK15" s="11" t="n">
        <v>0.541752124764709</v>
      </c>
      <c r="AL15" s="11" t="n">
        <v>1.11971398879782</v>
      </c>
      <c r="AM15" s="11" t="n">
        <v>0.772473937745446</v>
      </c>
      <c r="AN15" s="11" t="n">
        <v>0.85338772111931</v>
      </c>
      <c r="AO15" s="11" t="n">
        <v>0.941803891439629</v>
      </c>
      <c r="AP15" s="11" t="n">
        <v>1.05249354242531</v>
      </c>
      <c r="AQ15" s="11" t="n">
        <v>1.03922145167634</v>
      </c>
      <c r="AR15" s="11" t="n">
        <v>1.18494290131125</v>
      </c>
      <c r="AS15" s="11" t="n">
        <v>1.33687784699157</v>
      </c>
      <c r="AT15" s="11" t="n">
        <v>1.59385231293396</v>
      </c>
      <c r="AU15" s="11" t="n">
        <v>1.8600063221481</v>
      </c>
      <c r="AV15" s="11" t="n">
        <v>2.18002045240814</v>
      </c>
      <c r="AW15" s="11" t="n">
        <v>2.52245540334349</v>
      </c>
      <c r="AX15" s="11" t="n">
        <v>2.86269668185091</v>
      </c>
      <c r="AY15" s="11" t="n">
        <v>3.1910595289671</v>
      </c>
      <c r="AZ15" s="11" t="n">
        <v>3.48110002502241</v>
      </c>
      <c r="BA15" s="11" t="n">
        <v>3.70278702304934</v>
      </c>
      <c r="BB15" s="11" t="n">
        <v>3.92197933803403</v>
      </c>
      <c r="BC15" s="11" t="n">
        <v>4.10534913163693</v>
      </c>
      <c r="BD15" s="11" t="n">
        <v>4.29487024454034</v>
      </c>
      <c r="BE15" s="11" t="n">
        <v>4.41276908506391</v>
      </c>
      <c r="BF15" s="11" t="n">
        <v>4.48241621455591</v>
      </c>
      <c r="BG15" s="11" t="n">
        <v>4.51963787513381</v>
      </c>
      <c r="BH15" s="11" t="n">
        <v>4.51963829708352</v>
      </c>
      <c r="BI15" s="11" t="n">
        <v>4.54417530675067</v>
      </c>
      <c r="BJ15" s="11" t="n">
        <v>4.5413256061281</v>
      </c>
      <c r="BK15" s="11" t="n">
        <v>4.4904485985796</v>
      </c>
      <c r="BL15" s="11" t="n">
        <v>4.432307529618</v>
      </c>
      <c r="BM15" s="11" t="n">
        <v>4.35862189668962</v>
      </c>
      <c r="BN15" s="11" t="n">
        <v>4.73987308152751</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38.722355501135</v>
      </c>
      <c r="AN16" s="11" t="n">
        <v>26.9952145949613</v>
      </c>
      <c r="AO16" s="11" t="n">
        <v>24.7868974484337</v>
      </c>
      <c r="AP16" s="11" t="n">
        <v>22.305910938994</v>
      </c>
      <c r="AQ16" s="11" t="n">
        <v>21.6483936489559</v>
      </c>
      <c r="AR16" s="11" t="n">
        <v>21.9507782604151</v>
      </c>
      <c r="AS16" s="11" t="n">
        <v>24.1431624866389</v>
      </c>
      <c r="AT16" s="11" t="n">
        <v>24.8299844947136</v>
      </c>
      <c r="AU16" s="11" t="n">
        <v>25.8032580002544</v>
      </c>
      <c r="AV16" s="11" t="n">
        <v>27.5332559682819</v>
      </c>
      <c r="AW16" s="11" t="n">
        <v>29.2526410329017</v>
      </c>
      <c r="AX16" s="11" t="n">
        <v>30.5810206804206</v>
      </c>
      <c r="AY16" s="11" t="n">
        <v>29.8023505741327</v>
      </c>
      <c r="AZ16" s="11" t="n">
        <v>29.7483293706442</v>
      </c>
      <c r="BA16" s="11" t="n">
        <v>30.4490819337625</v>
      </c>
      <c r="BB16" s="11" t="n">
        <v>30.9960078446933</v>
      </c>
      <c r="BC16" s="11" t="n">
        <v>31.6324749497826</v>
      </c>
      <c r="BD16" s="11" t="n">
        <v>33.4322631563154</v>
      </c>
      <c r="BE16" s="11" t="n">
        <v>35.2619795894301</v>
      </c>
      <c r="BF16" s="11" t="n">
        <v>36.8307493906397</v>
      </c>
      <c r="BG16" s="11" t="n">
        <v>38.2782623890217</v>
      </c>
      <c r="BH16" s="11" t="n">
        <v>39.45116734151</v>
      </c>
      <c r="BI16" s="11" t="n">
        <v>40.6987862978818</v>
      </c>
      <c r="BJ16" s="11" t="n">
        <v>41.8986409448813</v>
      </c>
      <c r="BK16" s="11" t="n">
        <v>43.7550892574152</v>
      </c>
      <c r="BL16" s="11" t="n">
        <v>42.3061934631674</v>
      </c>
      <c r="BM16" s="11" t="n">
        <v>38.7751340512474</v>
      </c>
      <c r="BN16" s="11" t="n">
        <v>156.743875252666</v>
      </c>
      <c r="BO16" s="11" t="n">
        <v>118.375576890978</v>
      </c>
      <c r="BP16" s="11" t="n">
        <v>146.917597626381</v>
      </c>
      <c r="BQ16" s="11" t="n">
        <v>161.771807473984</v>
      </c>
    </row>
    <row r="17" customFormat="false" ht="13.8" hidden="false" customHeight="false" outlineLevel="0" collapsed="false">
      <c r="A17" s="11" t="s">
        <v>137</v>
      </c>
      <c r="B17" s="11" t="s">
        <v>152</v>
      </c>
      <c r="C17" s="11" t="s">
        <v>139</v>
      </c>
      <c r="D17" s="12"/>
      <c r="E17" s="11" t="n">
        <v>70.0972561713185</v>
      </c>
      <c r="F17" s="11" t="n">
        <v>70.9694415618387</v>
      </c>
      <c r="G17" s="11" t="n">
        <v>71.132294619585</v>
      </c>
      <c r="H17" s="11" t="n">
        <v>71.8122172910779</v>
      </c>
      <c r="I17" s="11" t="n">
        <v>72.2957485820843</v>
      </c>
      <c r="J17" s="11" t="n">
        <v>73.0157977582614</v>
      </c>
      <c r="K17" s="11" t="n">
        <v>73.6646952887652</v>
      </c>
      <c r="L17" s="11" t="n">
        <v>73.2585135370301</v>
      </c>
      <c r="M17" s="11" t="n">
        <v>72.857866554095</v>
      </c>
      <c r="N17" s="11" t="n">
        <v>70.3376634874946</v>
      </c>
      <c r="O17" s="11" t="n">
        <v>67.5493303656442</v>
      </c>
      <c r="P17" s="11" t="n">
        <v>65.2372960190355</v>
      </c>
      <c r="Q17" s="11" t="n">
        <v>64.7778902640439</v>
      </c>
      <c r="R17" s="11" t="n">
        <v>61.3375599734718</v>
      </c>
      <c r="S17" s="11" t="n">
        <v>56.672189154327</v>
      </c>
      <c r="T17" s="11" t="n">
        <v>54.4072424596031</v>
      </c>
      <c r="U17" s="11" t="n">
        <v>52.4213760930319</v>
      </c>
      <c r="V17" s="11" t="n">
        <v>48.8156230762384</v>
      </c>
      <c r="W17" s="11" t="n">
        <v>43.9393870887183</v>
      </c>
      <c r="X17" s="11" t="n">
        <v>39.8636352384587</v>
      </c>
      <c r="Y17" s="11" t="n">
        <v>34.6261847227992</v>
      </c>
      <c r="Z17" s="11" t="n">
        <v>32.3276483620429</v>
      </c>
      <c r="AA17" s="11" t="n">
        <v>30.6018352790237</v>
      </c>
      <c r="AB17" s="11" t="n">
        <v>27.2165028540719</v>
      </c>
      <c r="AC17" s="11" t="n">
        <v>24.7648403332128</v>
      </c>
      <c r="AD17" s="11" t="n">
        <v>23.9395272811453</v>
      </c>
      <c r="AE17" s="11" t="n">
        <v>22.7629858056435</v>
      </c>
      <c r="AF17" s="11" t="n">
        <v>23.1009316290312</v>
      </c>
      <c r="AG17" s="11" t="n">
        <v>22.9437825900192</v>
      </c>
      <c r="AH17" s="11" t="n">
        <v>22.4612195704563</v>
      </c>
      <c r="AI17" s="11" t="n">
        <v>20.9554957607479</v>
      </c>
      <c r="AJ17" s="11" t="n">
        <v>19.8902591743334</v>
      </c>
      <c r="AK17" s="11" t="n">
        <v>19.7926657409702</v>
      </c>
      <c r="AL17" s="11" t="n">
        <v>19.6853537342984</v>
      </c>
      <c r="AM17" s="11" t="n">
        <v>18.8578119235528</v>
      </c>
      <c r="AN17" s="11" t="n">
        <v>18.4909497183457</v>
      </c>
      <c r="AO17" s="11" t="n">
        <v>18.0743866765582</v>
      </c>
      <c r="AP17" s="11" t="n">
        <v>18.3867932194325</v>
      </c>
      <c r="AQ17" s="11" t="n">
        <v>17.415548219961</v>
      </c>
      <c r="AR17" s="11" t="n">
        <v>16.5614517798263</v>
      </c>
      <c r="AS17" s="11" t="n">
        <v>15.7571239965547</v>
      </c>
      <c r="AT17" s="11" t="n">
        <v>15.0464164744527</v>
      </c>
      <c r="AU17" s="11" t="n">
        <v>14.4193129434863</v>
      </c>
      <c r="AV17" s="11" t="n">
        <v>13.8675624991065</v>
      </c>
      <c r="AW17" s="11" t="n">
        <v>13.3857901447412</v>
      </c>
      <c r="AX17" s="11" t="n">
        <v>12.9662325038224</v>
      </c>
      <c r="AY17" s="11" t="n">
        <v>12.6009454314573</v>
      </c>
      <c r="AZ17" s="11" t="n">
        <v>12.2821464538741</v>
      </c>
      <c r="BA17" s="11" t="n">
        <v>12.0057348341887</v>
      </c>
      <c r="BB17" s="11" t="n">
        <v>11.7679529393042</v>
      </c>
      <c r="BC17" s="11" t="n">
        <v>11.5657370193379</v>
      </c>
      <c r="BD17" s="11" t="n">
        <v>11.4522865372673</v>
      </c>
      <c r="BE17" s="11" t="n">
        <v>11.3683591498676</v>
      </c>
      <c r="BF17" s="11" t="n">
        <v>11.3114992126857</v>
      </c>
      <c r="BG17" s="11" t="n">
        <v>11.2794735223215</v>
      </c>
      <c r="BH17" s="11" t="n">
        <v>11.2710118206388</v>
      </c>
      <c r="BI17" s="11" t="n">
        <v>11.2828084467178</v>
      </c>
      <c r="BJ17" s="11" t="n">
        <v>11.3130074581611</v>
      </c>
      <c r="BK17" s="11" t="n">
        <v>11.3600862871595</v>
      </c>
      <c r="BL17" s="11" t="n">
        <v>11.4228448054899</v>
      </c>
      <c r="BM17" s="11" t="n">
        <v>11.5001757254339</v>
      </c>
      <c r="BN17" s="11" t="n">
        <v>93.4952952721876</v>
      </c>
      <c r="BO17" s="11" t="n">
        <v>79.1998534142811</v>
      </c>
      <c r="BP17" s="11" t="n">
        <v>65.1026770330016</v>
      </c>
      <c r="BQ17" s="11" t="n">
        <v>58.1600704799657</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42.727956720878</v>
      </c>
      <c r="AO18" s="11" t="n">
        <v>42.2653416065534</v>
      </c>
      <c r="AP18" s="11" t="n">
        <v>42.1448357765452</v>
      </c>
      <c r="AQ18" s="11" t="n">
        <v>41.2510521385682</v>
      </c>
      <c r="AR18" s="11" t="n">
        <v>41.562410545732</v>
      </c>
      <c r="AS18" s="11" t="n">
        <v>40.6000733466774</v>
      </c>
      <c r="AT18" s="11" t="n">
        <v>40.5789952187816</v>
      </c>
      <c r="AU18" s="11" t="n">
        <v>40.2770388160812</v>
      </c>
      <c r="AV18" s="11" t="n">
        <v>39.6277922917894</v>
      </c>
      <c r="AW18" s="11" t="n">
        <v>39.1611567548553</v>
      </c>
      <c r="AX18" s="11" t="n">
        <v>39.0146422609872</v>
      </c>
      <c r="AY18" s="11" t="n">
        <v>38.4631076929669</v>
      </c>
      <c r="AZ18" s="11" t="n">
        <v>37.7463976346609</v>
      </c>
      <c r="BA18" s="11" t="n">
        <v>37.6349732394794</v>
      </c>
      <c r="BB18" s="11" t="n">
        <v>37.7317393803614</v>
      </c>
      <c r="BC18" s="11" t="n">
        <v>37.5131065740718</v>
      </c>
      <c r="BD18" s="11" t="n">
        <v>38.0628057704305</v>
      </c>
      <c r="BE18" s="11" t="n">
        <v>38.6690086867167</v>
      </c>
      <c r="BF18" s="11" t="n">
        <v>38.6580062793694</v>
      </c>
      <c r="BG18" s="11" t="n">
        <v>38.409711129731</v>
      </c>
      <c r="BH18" s="11" t="n">
        <v>37.99524633734</v>
      </c>
      <c r="BI18" s="11" t="n">
        <v>37.5509627066593</v>
      </c>
      <c r="BJ18" s="11" t="n">
        <v>36.8747312764553</v>
      </c>
      <c r="BK18" s="11" t="n">
        <v>37.1449975327032</v>
      </c>
      <c r="BL18" s="11" t="n">
        <v>36.033301710835</v>
      </c>
      <c r="BM18" s="11" t="n">
        <v>35.5126455779044</v>
      </c>
      <c r="BN18" s="11" t="n">
        <v>208.94406610736</v>
      </c>
      <c r="BO18" s="11" t="n">
        <v>204.26957006584</v>
      </c>
      <c r="BP18" s="11" t="n">
        <v>194.01309663526</v>
      </c>
      <c r="BQ18" s="11" t="n">
        <v>189.61163365106</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333.205764375449</v>
      </c>
      <c r="AN19" s="11" t="n">
        <v>326.503541449964</v>
      </c>
      <c r="AO19" s="11" t="n">
        <v>319.511259123417</v>
      </c>
      <c r="AP19" s="11" t="n">
        <v>313.432399775891</v>
      </c>
      <c r="AQ19" s="11" t="n">
        <v>306.774182662071</v>
      </c>
      <c r="AR19" s="11" t="n">
        <v>301.740873697114</v>
      </c>
      <c r="AS19" s="11" t="n">
        <v>295.766929416564</v>
      </c>
      <c r="AT19" s="11" t="n">
        <v>290.053106454041</v>
      </c>
      <c r="AU19" s="11" t="n">
        <v>285.478969040169</v>
      </c>
      <c r="AV19" s="11" t="n">
        <v>281.778489435024</v>
      </c>
      <c r="AW19" s="11" t="n">
        <v>279.075074937514</v>
      </c>
      <c r="AX19" s="11" t="n">
        <v>277.083673129384</v>
      </c>
      <c r="AY19" s="11" t="n">
        <v>271.764897397563</v>
      </c>
      <c r="AZ19" s="11" t="n">
        <v>268.768279887708</v>
      </c>
      <c r="BA19" s="11" t="n">
        <v>267.1323572985</v>
      </c>
      <c r="BB19" s="11" t="n">
        <v>265.81872294604</v>
      </c>
      <c r="BC19" s="11" t="n">
        <v>265.254040776706</v>
      </c>
      <c r="BD19" s="11" t="n">
        <v>266.419115067548</v>
      </c>
      <c r="BE19" s="11" t="n">
        <v>267.482803971406</v>
      </c>
      <c r="BF19" s="11" t="n">
        <v>268.41932232516</v>
      </c>
      <c r="BG19" s="11" t="n">
        <v>269.514124679006</v>
      </c>
      <c r="BH19" s="11" t="n">
        <v>270.044364420031</v>
      </c>
      <c r="BI19" s="11" t="n">
        <v>271.032167519281</v>
      </c>
      <c r="BJ19" s="11" t="n">
        <v>271.802755914693</v>
      </c>
      <c r="BK19" s="11" t="n">
        <v>274.080215912227</v>
      </c>
      <c r="BL19" s="11" t="n">
        <v>271.373289126427</v>
      </c>
      <c r="BM19" s="11" t="n">
        <v>267.547917335975</v>
      </c>
      <c r="BN19" s="11" t="n">
        <v>1634.58711325398</v>
      </c>
      <c r="BO19" s="11" t="n">
        <v>1479.81406126996</v>
      </c>
      <c r="BP19" s="11" t="n">
        <v>1378.47041478719</v>
      </c>
      <c r="BQ19" s="11" t="n">
        <v>1332.1070400602</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141.138614388231</v>
      </c>
      <c r="L20" s="11" t="n">
        <v>138.524436182827</v>
      </c>
      <c r="M20" s="11" t="n">
        <v>135.462212228555</v>
      </c>
      <c r="N20" s="11" t="n">
        <v>129.859065263225</v>
      </c>
      <c r="O20" s="11" t="n">
        <v>123.920486839629</v>
      </c>
      <c r="P20" s="11" t="n">
        <v>118.64001130189</v>
      </c>
      <c r="Q20" s="11" t="n">
        <v>116.77678020067</v>
      </c>
      <c r="R20" s="11" t="n">
        <v>111.853160224235</v>
      </c>
      <c r="S20" s="11" t="n">
        <v>107.03393682204</v>
      </c>
      <c r="T20" s="11" t="n">
        <v>102.664117491926</v>
      </c>
      <c r="U20" s="11" t="n">
        <v>99.2297893209561</v>
      </c>
      <c r="V20" s="11" t="n">
        <v>94.775315317842</v>
      </c>
      <c r="W20" s="11" t="n">
        <v>88.4981359307023</v>
      </c>
      <c r="X20" s="11" t="n">
        <v>83.9244036183387</v>
      </c>
      <c r="Y20" s="11" t="n">
        <v>78.667322755185</v>
      </c>
      <c r="Z20" s="11" t="n">
        <v>75.6712751364844</v>
      </c>
      <c r="AA20" s="11" t="n">
        <v>73.8280122064821</v>
      </c>
      <c r="AB20" s="11" t="n">
        <v>68.980177011707</v>
      </c>
      <c r="AC20" s="11" t="n">
        <v>66.6821086932931</v>
      </c>
      <c r="AD20" s="11" t="n">
        <v>65.4783580021182</v>
      </c>
      <c r="AE20" s="11" t="n">
        <v>63.0801894570004</v>
      </c>
      <c r="AF20" s="11" t="n">
        <v>63.35861040571</v>
      </c>
      <c r="AG20" s="11" t="n">
        <v>62.7602337118584</v>
      </c>
      <c r="AH20" s="11" t="n">
        <v>62.4134940187284</v>
      </c>
      <c r="AI20" s="11" t="n">
        <v>59.9984424095153</v>
      </c>
      <c r="AJ20" s="11" t="n">
        <v>58.7276734594613</v>
      </c>
      <c r="AK20" s="11" t="n">
        <v>58.0898467243932</v>
      </c>
      <c r="AL20" s="11" t="n">
        <v>57.0200585910277</v>
      </c>
      <c r="AM20" s="11" t="n">
        <v>55.5172727235413</v>
      </c>
      <c r="AN20" s="11" t="n">
        <v>54.6860983871134</v>
      </c>
      <c r="AO20" s="11" t="n">
        <v>54.0104009465568</v>
      </c>
      <c r="AP20" s="11" t="n">
        <v>54.1428125012225</v>
      </c>
      <c r="AQ20" s="11" t="n">
        <v>52.9302881258012</v>
      </c>
      <c r="AR20" s="11" t="n">
        <v>51.9303030117995</v>
      </c>
      <c r="AS20" s="11" t="n">
        <v>50.913268144531</v>
      </c>
      <c r="AT20" s="11" t="n">
        <v>49.9710922433828</v>
      </c>
      <c r="AU20" s="11" t="n">
        <v>49.0349739250763</v>
      </c>
      <c r="AV20" s="11" t="n">
        <v>48.1841401624092</v>
      </c>
      <c r="AW20" s="11" t="n">
        <v>47.4499450870204</v>
      </c>
      <c r="AX20" s="11" t="n">
        <v>46.725480989749</v>
      </c>
      <c r="AY20" s="11" t="n">
        <v>46.00634932619</v>
      </c>
      <c r="AZ20" s="11" t="n">
        <v>45.3196778970628</v>
      </c>
      <c r="BA20" s="11" t="n">
        <v>44.735966542577</v>
      </c>
      <c r="BB20" s="11" t="n">
        <v>44.1708197327348</v>
      </c>
      <c r="BC20" s="11" t="n">
        <v>43.6485761080934</v>
      </c>
      <c r="BD20" s="11" t="n">
        <v>43.1337265748769</v>
      </c>
      <c r="BE20" s="11" t="n">
        <v>42.6589500826061</v>
      </c>
      <c r="BF20" s="11" t="n">
        <v>42.2516966516497</v>
      </c>
      <c r="BG20" s="11" t="n">
        <v>41.8657998157793</v>
      </c>
      <c r="BH20" s="11" t="n">
        <v>41.4963611811061</v>
      </c>
      <c r="BI20" s="11" t="n">
        <v>41.1436777069826</v>
      </c>
      <c r="BJ20" s="11" t="n">
        <v>40.8020847701609</v>
      </c>
      <c r="BK20" s="11" t="n">
        <v>40.4816023632112</v>
      </c>
      <c r="BL20" s="11" t="n">
        <v>40.1843807801626</v>
      </c>
      <c r="BM20" s="11" t="n">
        <v>39.9073897045168</v>
      </c>
      <c r="BN20" s="11" t="n">
        <v>275.376643149462</v>
      </c>
      <c r="BO20" s="11" t="n">
        <v>254.779925450591</v>
      </c>
      <c r="BP20" s="11" t="n">
        <v>233.685593462431</v>
      </c>
      <c r="BQ20" s="11" t="n">
        <v>218.348039040888</v>
      </c>
    </row>
    <row r="21" customFormat="false" ht="13.8" hidden="false" customHeight="false" outlineLevel="0" collapsed="false">
      <c r="A21" s="11" t="s">
        <v>156</v>
      </c>
      <c r="B21" s="11" t="s">
        <v>140</v>
      </c>
      <c r="C21" s="11" t="s">
        <v>139</v>
      </c>
      <c r="D21" s="12"/>
      <c r="E21" s="11" t="n">
        <v>44.3002234775336</v>
      </c>
      <c r="F21" s="11" t="n">
        <v>44.4052277252299</v>
      </c>
      <c r="G21" s="11" t="n">
        <v>39.9378274497614</v>
      </c>
      <c r="H21" s="11" t="n">
        <v>36.1377812173721</v>
      </c>
      <c r="I21" s="11" t="n">
        <v>36.733575590136</v>
      </c>
      <c r="J21" s="11" t="n">
        <v>35.5262647513158</v>
      </c>
      <c r="K21" s="11" t="n">
        <v>35.5202840220701</v>
      </c>
      <c r="L21" s="11" t="n">
        <v>35.7888793937191</v>
      </c>
      <c r="M21" s="11" t="n">
        <v>35.8446693081235</v>
      </c>
      <c r="N21" s="11" t="n">
        <v>27.2931949805531</v>
      </c>
      <c r="O21" s="11" t="n">
        <v>26.7745080049933</v>
      </c>
      <c r="P21" s="11" t="n">
        <v>25.5332295216333</v>
      </c>
      <c r="Q21" s="11" t="n">
        <v>24.0080781455952</v>
      </c>
      <c r="R21" s="11" t="n">
        <v>23.6493473576149</v>
      </c>
      <c r="S21" s="11" t="n">
        <v>24.1732056787632</v>
      </c>
      <c r="T21" s="11" t="n">
        <v>23.2738708129377</v>
      </c>
      <c r="U21" s="11" t="n">
        <v>22.3723859735233</v>
      </c>
      <c r="V21" s="11" t="n">
        <v>22.3871776205364</v>
      </c>
      <c r="W21" s="11" t="n">
        <v>21.8687745509561</v>
      </c>
      <c r="X21" s="11" t="n">
        <v>20.4093851389545</v>
      </c>
      <c r="Y21" s="11" t="n">
        <v>20.850592457761</v>
      </c>
      <c r="Z21" s="11" t="n">
        <v>20.1180492670757</v>
      </c>
      <c r="AA21" s="11" t="n">
        <v>20.0301007556531</v>
      </c>
      <c r="AB21" s="11" t="n">
        <v>20.07578522778</v>
      </c>
      <c r="AC21" s="11" t="n">
        <v>20.5757861988295</v>
      </c>
      <c r="AD21" s="11" t="n">
        <v>20.4522889297316</v>
      </c>
      <c r="AE21" s="11" t="n">
        <v>20.0055547697637</v>
      </c>
      <c r="AF21" s="11" t="n">
        <v>20.2878791430463</v>
      </c>
      <c r="AG21" s="11" t="n">
        <v>20.1618254992518</v>
      </c>
      <c r="AH21" s="11" t="n">
        <v>20.2029843423827</v>
      </c>
      <c r="AI21" s="11" t="n">
        <v>18.9789878158805</v>
      </c>
      <c r="AJ21" s="11" t="n">
        <v>19.343581552368</v>
      </c>
      <c r="AK21" s="11" t="n">
        <v>18.5808205022007</v>
      </c>
      <c r="AL21" s="11" t="n">
        <v>18.4485657982639</v>
      </c>
      <c r="AM21" s="11" t="n">
        <v>18.7553341449773</v>
      </c>
      <c r="AN21" s="11" t="n">
        <v>18.7366792527183</v>
      </c>
      <c r="AO21" s="11" t="n">
        <v>18.7173066007919</v>
      </c>
      <c r="AP21" s="11" t="n">
        <v>18.6734699941241</v>
      </c>
      <c r="AQ21" s="11" t="n">
        <v>18.5427960247474</v>
      </c>
      <c r="AR21" s="11" t="n">
        <v>18.5199826318505</v>
      </c>
      <c r="AS21" s="11" t="n">
        <v>18.4450717338882</v>
      </c>
      <c r="AT21" s="11" t="n">
        <v>18.3669998495677</v>
      </c>
      <c r="AU21" s="11" t="n">
        <v>18.2255326023907</v>
      </c>
      <c r="AV21" s="11" t="n">
        <v>18.1341607814838</v>
      </c>
      <c r="AW21" s="11" t="n">
        <v>18.0590536373236</v>
      </c>
      <c r="AX21" s="11" t="n">
        <v>17.9543817309022</v>
      </c>
      <c r="AY21" s="11" t="n">
        <v>17.8490223305823</v>
      </c>
      <c r="AZ21" s="11" t="n">
        <v>17.661137291375</v>
      </c>
      <c r="BA21" s="11" t="n">
        <v>17.587478211508</v>
      </c>
      <c r="BB21" s="11" t="n">
        <v>17.5075445987265</v>
      </c>
      <c r="BC21" s="11" t="n">
        <v>17.4328079204002</v>
      </c>
      <c r="BD21" s="11" t="n">
        <v>17.3577839561871</v>
      </c>
      <c r="BE21" s="11" t="n">
        <v>17.2893123327351</v>
      </c>
      <c r="BF21" s="11" t="n">
        <v>17.2326064683794</v>
      </c>
      <c r="BG21" s="11" t="n">
        <v>17.1783244577886</v>
      </c>
      <c r="BH21" s="11" t="n">
        <v>17.1223090116873</v>
      </c>
      <c r="BI21" s="11" t="n">
        <v>17.0710296748892</v>
      </c>
      <c r="BJ21" s="11" t="n">
        <v>17.016589571304</v>
      </c>
      <c r="BK21" s="11" t="n">
        <v>16.9674338483688</v>
      </c>
      <c r="BL21" s="11" t="n">
        <v>16.9084641793639</v>
      </c>
      <c r="BM21" s="11" t="n">
        <v>16.8549625978414</v>
      </c>
      <c r="BN21" s="11" t="n">
        <v>93.3313557908755</v>
      </c>
      <c r="BO21" s="11" t="n">
        <v>92.1003828424446</v>
      </c>
      <c r="BP21" s="11" t="n">
        <v>89.6577557716669</v>
      </c>
      <c r="BQ21" s="11" t="n">
        <v>87.174927019557</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7.05228750474408</v>
      </c>
      <c r="Q22" s="11" t="n">
        <v>7.4688138300499</v>
      </c>
      <c r="R22" s="11" t="n">
        <v>8.25870624154292</v>
      </c>
      <c r="S22" s="11" t="n">
        <v>7.36937772653388</v>
      </c>
      <c r="T22" s="11" t="n">
        <v>8.09555591302204</v>
      </c>
      <c r="U22" s="11" t="n">
        <v>8.88703175483168</v>
      </c>
      <c r="V22" s="11" t="n">
        <v>9.24213661121652</v>
      </c>
      <c r="W22" s="11" t="n">
        <v>9.58107153266835</v>
      </c>
      <c r="X22" s="11" t="n">
        <v>10.0020094196355</v>
      </c>
      <c r="Y22" s="11" t="n">
        <v>10.4979550302191</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4.09884472060176</v>
      </c>
      <c r="AU22" s="11" t="n">
        <v>3.89091088317771</v>
      </c>
      <c r="AV22" s="11" t="n">
        <v>3.70734813175857</v>
      </c>
      <c r="AW22" s="11" t="n">
        <v>3.53638632023551</v>
      </c>
      <c r="AX22" s="11" t="n">
        <v>3.38044042697567</v>
      </c>
      <c r="AY22" s="11" t="n">
        <v>3.24624656805012</v>
      </c>
      <c r="AZ22" s="11" t="n">
        <v>3.14013667374679</v>
      </c>
      <c r="BA22" s="11" t="n">
        <v>3.06190005083168</v>
      </c>
      <c r="BB22" s="11" t="n">
        <v>3.0277117596006</v>
      </c>
      <c r="BC22" s="11" t="n">
        <v>3.01583177269943</v>
      </c>
      <c r="BD22" s="11" t="n">
        <v>3.01833912244435</v>
      </c>
      <c r="BE22" s="11" t="n">
        <v>3.03328730057938</v>
      </c>
      <c r="BF22" s="11" t="n">
        <v>3.05775648539494</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1.48366130882975</v>
      </c>
      <c r="F23" s="11" t="n">
        <v>1.24305334298279</v>
      </c>
      <c r="G23" s="11" t="n">
        <v>0.617640551647897</v>
      </c>
      <c r="H23" s="11" t="n">
        <v>0.538700846476154</v>
      </c>
      <c r="I23" s="11" t="n">
        <v>0.546409279966551</v>
      </c>
      <c r="J23" s="11" t="n">
        <v>0.533270281772292</v>
      </c>
      <c r="K23" s="11" t="n">
        <v>0.531928867885412</v>
      </c>
      <c r="L23" s="11" t="n">
        <v>0.44692564402011</v>
      </c>
      <c r="M23" s="11" t="n">
        <v>0.43528910732139</v>
      </c>
      <c r="N23" s="11" t="n">
        <v>0.412312802276656</v>
      </c>
      <c r="O23" s="11" t="n">
        <v>0.51862161306472</v>
      </c>
      <c r="P23" s="11" t="n">
        <v>0.432138729457178</v>
      </c>
      <c r="Q23" s="11" t="n">
        <v>0.364067786446408</v>
      </c>
      <c r="R23" s="11" t="n">
        <v>0.318513971049458</v>
      </c>
      <c r="S23" s="11" t="n">
        <v>0.402942811428176</v>
      </c>
      <c r="T23" s="11" t="n">
        <v>0.368307653921605</v>
      </c>
      <c r="U23" s="11" t="n">
        <v>0.369821205860997</v>
      </c>
      <c r="V23" s="11" t="n">
        <v>0.277694286963564</v>
      </c>
      <c r="W23" s="11" t="n">
        <v>0.255311612882481</v>
      </c>
      <c r="X23" s="11" t="n">
        <v>0.195240026958578</v>
      </c>
      <c r="Y23" s="11" t="n">
        <v>0.281496039558142</v>
      </c>
      <c r="Z23" s="11" t="n">
        <v>0.399303588048535</v>
      </c>
      <c r="AA23" s="11" t="n">
        <v>0.243138181819986</v>
      </c>
      <c r="AB23" s="11" t="n">
        <v>0.294217429839836</v>
      </c>
      <c r="AC23" s="11" t="n">
        <v>0.23782779605641</v>
      </c>
      <c r="AD23" s="11" t="n">
        <v>0.274427975434271</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0.145322964863699</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0.788373788456026</v>
      </c>
      <c r="BP23" s="11" t="n">
        <v>0.788373788456026</v>
      </c>
      <c r="BQ23" s="11" t="n">
        <v>0.788373788456026</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0.426418736992623</v>
      </c>
      <c r="AE24" s="11" t="n">
        <v>0.458386532676318</v>
      </c>
      <c r="AF24" s="11" t="n">
        <v>0.460093295564997</v>
      </c>
      <c r="AG24" s="11" t="n">
        <v>0.565037427403676</v>
      </c>
      <c r="AH24" s="11" t="n">
        <v>0.49719676355469</v>
      </c>
      <c r="AI24" s="11" t="n">
        <v>0.425406162786779</v>
      </c>
      <c r="AJ24" s="11" t="n">
        <v>0.38749956929647</v>
      </c>
      <c r="AK24" s="11" t="n">
        <v>0.333442729385777</v>
      </c>
      <c r="AL24" s="11" t="n">
        <v>0.301791676439176</v>
      </c>
      <c r="AM24" s="11" t="n">
        <v>0.307854862676676</v>
      </c>
      <c r="AN24" s="11" t="n">
        <v>0.314290204270113</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0.372815184884234</v>
      </c>
      <c r="AW24" s="11" t="n">
        <v>0.380977508595361</v>
      </c>
      <c r="AX24" s="11" t="n">
        <v>0.389343890399265</v>
      </c>
      <c r="AY24" s="11" t="n">
        <v>0.389343890399265</v>
      </c>
      <c r="AZ24" s="11" t="n">
        <v>0.389343890399265</v>
      </c>
      <c r="BA24" s="11" t="n">
        <v>0.389343890399265</v>
      </c>
      <c r="BB24" s="11" t="n">
        <v>0.389343890399265</v>
      </c>
      <c r="BC24" s="11" t="n">
        <v>0.389343890399265</v>
      </c>
      <c r="BD24" s="11" t="n">
        <v>0.389343890399265</v>
      </c>
      <c r="BE24" s="11" t="n">
        <v>0.389343890399265</v>
      </c>
      <c r="BF24" s="11" t="n">
        <v>0.389343890399265</v>
      </c>
      <c r="BG24" s="11" t="n">
        <v>0.389343890399265</v>
      </c>
      <c r="BH24" s="11" t="n">
        <v>0.389343890399265</v>
      </c>
      <c r="BI24" s="11" t="n">
        <v>0.389343890399265</v>
      </c>
      <c r="BJ24" s="11" t="n">
        <v>0.389343890399265</v>
      </c>
      <c r="BK24" s="11" t="n">
        <v>0.389343890399265</v>
      </c>
      <c r="BL24" s="11" t="n">
        <v>0.389343890399265</v>
      </c>
      <c r="BM24" s="11" t="n">
        <v>0.389343890399265</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32.3429075604533</v>
      </c>
      <c r="H27" s="11" t="n">
        <v>32.2867215516015</v>
      </c>
      <c r="I27" s="11" t="n">
        <v>32.4376625870691</v>
      </c>
      <c r="J27" s="11" t="n">
        <v>32.2069060308038</v>
      </c>
      <c r="K27" s="11" t="n">
        <v>32.8262420298166</v>
      </c>
      <c r="L27" s="11" t="n">
        <v>32.5783502819476</v>
      </c>
      <c r="M27" s="11" t="n">
        <v>32.6734220770182</v>
      </c>
      <c r="N27" s="11" t="n">
        <v>32.5130465142707</v>
      </c>
      <c r="O27" s="11" t="n">
        <v>31.5208846643531</v>
      </c>
      <c r="P27" s="11" t="n">
        <v>29.9473573096137</v>
      </c>
      <c r="Q27" s="11" t="n">
        <v>29.4891220094733</v>
      </c>
      <c r="R27" s="11" t="n">
        <v>29.7648113387233</v>
      </c>
      <c r="S27" s="11" t="n">
        <v>30.0129038331228</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27.8900628145383</v>
      </c>
      <c r="AK27" s="11" t="n">
        <v>27.7847764250513</v>
      </c>
      <c r="AL27" s="11" t="n">
        <v>27.2034581433579</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16.3728090246473</v>
      </c>
      <c r="F28" s="11" t="n">
        <v>16.3652204738222</v>
      </c>
      <c r="G28" s="11" t="n">
        <v>15.7880323748618</v>
      </c>
      <c r="H28" s="11" t="n">
        <v>15.3872752709717</v>
      </c>
      <c r="I28" s="11" t="n">
        <v>15.9578378738726</v>
      </c>
      <c r="J28" s="11" t="n">
        <v>16.0073151624586</v>
      </c>
      <c r="K28" s="11" t="n">
        <v>16.2385566670362</v>
      </c>
      <c r="L28" s="11" t="n">
        <v>16.4227129027924</v>
      </c>
      <c r="M28" s="11" t="n">
        <v>16.2079933627153</v>
      </c>
      <c r="N28" s="11" t="n">
        <v>16.2277371694367</v>
      </c>
      <c r="O28" s="11" t="n">
        <v>15.5059070589611</v>
      </c>
      <c r="P28" s="11" t="n">
        <v>14.9262809717382</v>
      </c>
      <c r="Q28" s="11" t="n">
        <v>14.9166492139828</v>
      </c>
      <c r="R28" s="11" t="n">
        <v>14.8411843098522</v>
      </c>
      <c r="S28" s="11" t="n">
        <v>14.6249013723468</v>
      </c>
      <c r="T28" s="11" t="n">
        <v>14.319878479678</v>
      </c>
      <c r="U28" s="11" t="n">
        <v>13.9484125589319</v>
      </c>
      <c r="V28" s="11" t="n">
        <v>13.6898865319666</v>
      </c>
      <c r="W28" s="11" t="n">
        <v>13.5903470722667</v>
      </c>
      <c r="X28" s="11" t="n">
        <v>13.5319011034865</v>
      </c>
      <c r="Y28" s="11" t="n">
        <v>13.7591024678466</v>
      </c>
      <c r="Z28" s="11" t="n">
        <v>13.7877731979964</v>
      </c>
      <c r="AA28" s="11" t="n">
        <v>13.6595715469706</v>
      </c>
      <c r="AB28" s="11" t="n">
        <v>13.7111904939868</v>
      </c>
      <c r="AC28" s="11" t="n">
        <v>14.2109240717554</v>
      </c>
      <c r="AD28" s="11" t="n">
        <v>14.1380536664966</v>
      </c>
      <c r="AE28" s="11" t="n">
        <v>13.813109346583</v>
      </c>
      <c r="AF28" s="11" t="n">
        <v>14.0170958536443</v>
      </c>
      <c r="AG28" s="11" t="n">
        <v>13.8566444133239</v>
      </c>
      <c r="AH28" s="11" t="n">
        <v>13.9485106648271</v>
      </c>
      <c r="AI28" s="11" t="n">
        <v>13.1569075442857</v>
      </c>
      <c r="AJ28" s="11" t="n">
        <v>13.478563412585</v>
      </c>
      <c r="AK28" s="11" t="n">
        <v>12.7290815643072</v>
      </c>
      <c r="AL28" s="11" t="n">
        <v>12.5191024192604</v>
      </c>
      <c r="AM28" s="11" t="n">
        <v>12.5045953938355</v>
      </c>
      <c r="AN28" s="11" t="n">
        <v>12.5098559697839</v>
      </c>
      <c r="AO28" s="11" t="n">
        <v>12.5217901091835</v>
      </c>
      <c r="AP28" s="11" t="n">
        <v>12.5376828555556</v>
      </c>
      <c r="AQ28" s="11" t="n">
        <v>12.5541577344059</v>
      </c>
      <c r="AR28" s="11" t="n">
        <v>12.5678684965442</v>
      </c>
      <c r="AS28" s="11" t="n">
        <v>12.5756416332501</v>
      </c>
      <c r="AT28" s="11" t="n">
        <v>12.5570215325553</v>
      </c>
      <c r="AU28" s="11" t="n">
        <v>12.5324913014387</v>
      </c>
      <c r="AV28" s="11" t="n">
        <v>12.5034970082266</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62.7871806981944</v>
      </c>
      <c r="BP28" s="11" t="n">
        <v>62.1470433189398</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78.2305695370219</v>
      </c>
      <c r="AO29" s="11" t="n">
        <v>78.0361387154147</v>
      </c>
      <c r="AP29" s="11" t="n">
        <v>77.8720930618591</v>
      </c>
      <c r="AQ29" s="11" t="n">
        <v>77.5871360082543</v>
      </c>
      <c r="AR29" s="11" t="n">
        <v>77.6524744256111</v>
      </c>
      <c r="AS29" s="11" t="n">
        <v>77.4906809963517</v>
      </c>
      <c r="AT29" s="11" t="n">
        <v>77.4778355420312</v>
      </c>
      <c r="AU29" s="11" t="n">
        <v>77.4607293286709</v>
      </c>
      <c r="AV29" s="11" t="n">
        <v>77.4981905776313</v>
      </c>
      <c r="AW29" s="11" t="n">
        <v>77.5576394872711</v>
      </c>
      <c r="AX29" s="11" t="n">
        <v>77.6746161272419</v>
      </c>
      <c r="AY29" s="11" t="n">
        <v>78.1702634911511</v>
      </c>
      <c r="AZ29" s="11" t="n">
        <v>78.35219834789</v>
      </c>
      <c r="BA29" s="11" t="n">
        <v>78.6238332172584</v>
      </c>
      <c r="BB29" s="11" t="n">
        <v>78.9059375271777</v>
      </c>
      <c r="BC29" s="11" t="n">
        <v>79.2283673861156</v>
      </c>
      <c r="BD29" s="11" t="n">
        <v>79.6345620965641</v>
      </c>
      <c r="BE29" s="11" t="n">
        <v>79.8890862531089</v>
      </c>
      <c r="BF29" s="11" t="n">
        <v>80.0677475408063</v>
      </c>
      <c r="BG29" s="11" t="n">
        <v>80.4436072066957</v>
      </c>
      <c r="BH29" s="11" t="n">
        <v>80.488874344844</v>
      </c>
      <c r="BI29" s="11" t="n">
        <v>80.6356871104802</v>
      </c>
      <c r="BJ29" s="11" t="n">
        <v>80.922496931178</v>
      </c>
      <c r="BK29" s="11" t="n">
        <v>81.0188696862234</v>
      </c>
      <c r="BL29" s="11" t="n">
        <v>81.0222968068465</v>
      </c>
      <c r="BM29" s="11" t="n">
        <v>81.0196594039639</v>
      </c>
      <c r="BN29" s="11" t="n">
        <v>381.697967527299</v>
      </c>
      <c r="BO29" s="11" t="n">
        <v>387.668856300919</v>
      </c>
      <c r="BP29" s="11" t="n">
        <v>389.252908031185</v>
      </c>
      <c r="BQ29" s="11" t="n">
        <v>396.281786480225</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1.09531900072004</v>
      </c>
      <c r="R30" s="11" t="n">
        <v>1.01289196739384</v>
      </c>
      <c r="S30" s="11" t="n">
        <v>0.982359313650173</v>
      </c>
      <c r="T30" s="11" t="n">
        <v>0.897591964388521</v>
      </c>
      <c r="U30" s="11" t="n">
        <v>0.885797108559107</v>
      </c>
      <c r="V30" s="11" t="n">
        <v>0.853573181482257</v>
      </c>
      <c r="W30" s="11" t="n">
        <v>0.856922320465814</v>
      </c>
      <c r="X30" s="11" t="n">
        <v>0.844171007110998</v>
      </c>
      <c r="Y30" s="11" t="n">
        <v>0.92583766013819</v>
      </c>
      <c r="Z30" s="11" t="n">
        <v>0.844657408227866</v>
      </c>
      <c r="AA30" s="11" t="n">
        <v>0.882667864449412</v>
      </c>
      <c r="AB30" s="11" t="n">
        <v>0.920044016490673</v>
      </c>
      <c r="AC30" s="11" t="n">
        <v>0.846274659293319</v>
      </c>
      <c r="AD30" s="11" t="n">
        <v>0.864442474526235</v>
      </c>
      <c r="AE30" s="11" t="n">
        <v>0.893480966819406</v>
      </c>
      <c r="AF30" s="11" t="n">
        <v>0.940209296392752</v>
      </c>
      <c r="AG30" s="11" t="n">
        <v>0.981255685027574</v>
      </c>
      <c r="AH30" s="11" t="n">
        <v>0.962549001103792</v>
      </c>
      <c r="AI30" s="11" t="n">
        <v>0.983714236014689</v>
      </c>
      <c r="AJ30" s="11" t="n">
        <v>1.04517930620611</v>
      </c>
      <c r="AK30" s="11" t="n">
        <v>0.991773864116739</v>
      </c>
      <c r="AL30" s="11" t="n">
        <v>0.941681052261805</v>
      </c>
      <c r="AM30" s="11" t="n">
        <v>0.982884053202977</v>
      </c>
      <c r="AN30" s="11" t="n">
        <v>0.990912740501881</v>
      </c>
      <c r="AO30" s="11" t="n">
        <v>0.99283830986643</v>
      </c>
      <c r="AP30" s="11" t="n">
        <v>0.999776498770942</v>
      </c>
      <c r="AQ30" s="11" t="n">
        <v>0.999871840267499</v>
      </c>
      <c r="AR30" s="11" t="n">
        <v>0.993883561312705</v>
      </c>
      <c r="AS30" s="11" t="n">
        <v>0.980967228270921</v>
      </c>
      <c r="AT30" s="11" t="n">
        <v>0.973980777474999</v>
      </c>
      <c r="AU30" s="11" t="n">
        <v>0.971116044613592</v>
      </c>
      <c r="AV30" s="11" t="n">
        <v>0.96404109041929</v>
      </c>
      <c r="AW30" s="11" t="n">
        <v>0.955646254853128</v>
      </c>
      <c r="AX30" s="11" t="n">
        <v>0.935669180512729</v>
      </c>
      <c r="AY30" s="11" t="n">
        <v>0.913104515420778</v>
      </c>
      <c r="AZ30" s="11" t="n">
        <v>0.881949862862102</v>
      </c>
      <c r="BA30" s="11" t="n">
        <v>0.868495805665448</v>
      </c>
      <c r="BB30" s="11" t="n">
        <v>0.855286812517076</v>
      </c>
      <c r="BC30" s="11" t="n">
        <v>0.843270527595282</v>
      </c>
      <c r="BD30" s="11" t="n">
        <v>0.831269354142378</v>
      </c>
      <c r="BE30" s="11" t="n">
        <v>0.814799240181678</v>
      </c>
      <c r="BF30" s="11" t="n">
        <v>0.806353800624984</v>
      </c>
      <c r="BG30" s="11" t="n">
        <v>0.797019921667965</v>
      </c>
      <c r="BH30" s="11" t="n">
        <v>0.780674510399314</v>
      </c>
      <c r="BI30" s="11" t="n">
        <v>0.763042144339317</v>
      </c>
      <c r="BJ30" s="11" t="n">
        <v>0.747538219149964</v>
      </c>
      <c r="BK30" s="11" t="n">
        <v>0.737489962867797</v>
      </c>
      <c r="BL30" s="11" t="n">
        <v>0.73726821878233</v>
      </c>
      <c r="BM30" s="11" t="n">
        <v>0.737242031649921</v>
      </c>
      <c r="BN30" s="11" t="n">
        <v>4.90809265460403</v>
      </c>
      <c r="BO30" s="11" t="n">
        <v>4.91981945193972</v>
      </c>
      <c r="BP30" s="11" t="n">
        <v>4.65041090406803</v>
      </c>
      <c r="BQ30" s="11" t="n">
        <v>4.21312174010186</v>
      </c>
    </row>
    <row r="31" customFormat="false" ht="13.8" hidden="false" customHeight="false" outlineLevel="0" collapsed="false">
      <c r="A31" s="11" t="s">
        <v>156</v>
      </c>
      <c r="B31" s="11" t="s">
        <v>145</v>
      </c>
      <c r="C31" s="11" t="s">
        <v>139</v>
      </c>
      <c r="D31" s="12"/>
      <c r="E31" s="11" t="n">
        <v>0.803846646059867</v>
      </c>
      <c r="F31" s="11" t="n">
        <v>0.82826751111269</v>
      </c>
      <c r="G31" s="11" t="n">
        <v>0.800673717239957</v>
      </c>
      <c r="H31" s="11" t="n">
        <v>0.81932303991727</v>
      </c>
      <c r="I31" s="11" t="n">
        <v>0.782881171566505</v>
      </c>
      <c r="J31" s="11" t="n">
        <v>0.733462075757155</v>
      </c>
      <c r="K31" s="11" t="n">
        <v>0.747304308394233</v>
      </c>
      <c r="L31" s="11" t="n">
        <v>0.727557422178596</v>
      </c>
      <c r="M31" s="11" t="n">
        <v>0.720071388943577</v>
      </c>
      <c r="N31" s="11" t="n">
        <v>0.723323631281291</v>
      </c>
      <c r="O31" s="11" t="n">
        <v>0.701128967996624</v>
      </c>
      <c r="P31" s="11" t="n">
        <v>0.702079099264855</v>
      </c>
      <c r="Q31" s="11" t="n">
        <v>0.676881243874794</v>
      </c>
      <c r="R31" s="11" t="n">
        <v>0.665624646656046</v>
      </c>
      <c r="S31" s="11" t="n">
        <v>0.667992520226125</v>
      </c>
      <c r="T31" s="11" t="n">
        <v>0.663368901986628</v>
      </c>
      <c r="U31" s="11" t="n">
        <v>0.666538925470497</v>
      </c>
      <c r="V31" s="11" t="n">
        <v>0.666283633552895</v>
      </c>
      <c r="W31" s="11" t="n">
        <v>0.674512136836212</v>
      </c>
      <c r="X31" s="11" t="n">
        <v>0.677989974403374</v>
      </c>
      <c r="Y31" s="11" t="n">
        <v>0.694687837107868</v>
      </c>
      <c r="Z31" s="11" t="n">
        <v>0.682594805284617</v>
      </c>
      <c r="AA31" s="11" t="n">
        <v>0.69304367834433</v>
      </c>
      <c r="AB31" s="11" t="n">
        <v>0.701293262661856</v>
      </c>
      <c r="AC31" s="11" t="n">
        <v>0.693481536121006</v>
      </c>
      <c r="AD31" s="11" t="n">
        <v>0.697701399181227</v>
      </c>
      <c r="AE31" s="11" t="n">
        <v>0.70690583633571</v>
      </c>
      <c r="AF31" s="11" t="n">
        <v>0.713481592450162</v>
      </c>
      <c r="AG31" s="11" t="n">
        <v>0.7253592451567</v>
      </c>
      <c r="AH31" s="11" t="n">
        <v>0.725080797967358</v>
      </c>
      <c r="AI31" s="11" t="n">
        <v>0.729496304148847</v>
      </c>
      <c r="AJ31" s="11" t="n">
        <v>0.73947432248103</v>
      </c>
      <c r="AK31" s="11" t="n">
        <v>0.732979969265163</v>
      </c>
      <c r="AL31" s="11" t="n">
        <v>0.729579335172371</v>
      </c>
      <c r="AM31" s="11" t="n">
        <v>0.743249110875358</v>
      </c>
      <c r="AN31" s="11" t="n">
        <v>0.749901461166806</v>
      </c>
      <c r="AO31" s="11" t="n">
        <v>0.75458536273978</v>
      </c>
      <c r="AP31" s="11" t="n">
        <v>0.759247688151202</v>
      </c>
      <c r="AQ31" s="11" t="n">
        <v>0.762155648871793</v>
      </c>
      <c r="AR31" s="11" t="n">
        <v>0.764186306126962</v>
      </c>
      <c r="AS31" s="11" t="n">
        <v>0.765136504900346</v>
      </c>
      <c r="AT31" s="11" t="n">
        <v>0.766830919850646</v>
      </c>
      <c r="AU31" s="11" t="n">
        <v>0.769007256481562</v>
      </c>
      <c r="AV31" s="11" t="n">
        <v>0.770634393531832</v>
      </c>
      <c r="AW31" s="11" t="n">
        <v>0.772037174899693</v>
      </c>
      <c r="AX31" s="11" t="n">
        <v>0.771793067422238</v>
      </c>
      <c r="AY31" s="11" t="n">
        <v>0.771140948307886</v>
      </c>
      <c r="AZ31" s="11" t="n">
        <v>0.769243837939038</v>
      </c>
      <c r="BA31" s="11" t="n">
        <v>0.769741915108068</v>
      </c>
      <c r="BB31" s="11" t="n">
        <v>0.770230322577405</v>
      </c>
      <c r="BC31" s="11" t="n">
        <v>0.770877703185387</v>
      </c>
      <c r="BD31" s="11" t="n">
        <v>0.771492211696778</v>
      </c>
      <c r="BE31" s="11" t="n">
        <v>0.77144673723805</v>
      </c>
      <c r="BF31" s="11" t="n">
        <v>0.772488012194368</v>
      </c>
      <c r="BG31" s="11" t="n">
        <v>0.7733447459356</v>
      </c>
      <c r="BH31" s="11" t="n">
        <v>0.773116313884938</v>
      </c>
      <c r="BI31" s="11" t="n">
        <v>0.772579890845147</v>
      </c>
      <c r="BJ31" s="11" t="n">
        <v>0.772263466945139</v>
      </c>
      <c r="BK31" s="11" t="n">
        <v>0.772639361027113</v>
      </c>
      <c r="BL31" s="11" t="n">
        <v>0.774314020703979</v>
      </c>
      <c r="BM31" s="11" t="n">
        <v>0.775941268887379</v>
      </c>
      <c r="BN31" s="11" t="n">
        <v>3.73656295810552</v>
      </c>
      <c r="BO31" s="11" t="n">
        <v>3.82731663623131</v>
      </c>
      <c r="BP31" s="11" t="n">
        <v>3.85484942210069</v>
      </c>
      <c r="BQ31" s="11" t="n">
        <v>3.85378888980569</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114.147964672085</v>
      </c>
      <c r="AO32" s="11" t="n">
        <v>111.475546020832</v>
      </c>
      <c r="AP32" s="11" t="n">
        <v>108.60274118168</v>
      </c>
      <c r="AQ32" s="11" t="n">
        <v>104.401188957097</v>
      </c>
      <c r="AR32" s="11" t="n">
        <v>99.3519176571707</v>
      </c>
      <c r="AS32" s="11" t="n">
        <v>93.2785063019027</v>
      </c>
      <c r="AT32" s="11" t="n">
        <v>87.7017110795635</v>
      </c>
      <c r="AU32" s="11" t="n">
        <v>82.5379357407438</v>
      </c>
      <c r="AV32" s="11" t="n">
        <v>78.0798343656441</v>
      </c>
      <c r="AW32" s="11" t="n">
        <v>74.1019533670403</v>
      </c>
      <c r="AX32" s="11" t="n">
        <v>70.6289899945351</v>
      </c>
      <c r="AY32" s="11" t="n">
        <v>67.4797432978472</v>
      </c>
      <c r="AZ32" s="11" t="n">
        <v>64.6492651182036</v>
      </c>
      <c r="BA32" s="11" t="n">
        <v>62.147594367492</v>
      </c>
      <c r="BB32" s="11" t="n">
        <v>60.0006658605471</v>
      </c>
      <c r="BC32" s="11" t="n">
        <v>58.0398405257778</v>
      </c>
      <c r="BD32" s="11" t="n">
        <v>56.4119470852433</v>
      </c>
      <c r="BE32" s="11" t="n">
        <v>54.9770365997353</v>
      </c>
      <c r="BF32" s="11" t="n">
        <v>53.8546832321117</v>
      </c>
      <c r="BG32" s="11" t="n">
        <v>52.8740019354015</v>
      </c>
      <c r="BH32" s="11" t="n">
        <v>52.0457097086448</v>
      </c>
      <c r="BI32" s="11" t="n">
        <v>51.4160202035093</v>
      </c>
      <c r="BJ32" s="11" t="n">
        <v>50.8767373260035</v>
      </c>
      <c r="BK32" s="11" t="n">
        <v>50.5778418412281</v>
      </c>
      <c r="BL32" s="11" t="n">
        <v>50.2760387187585</v>
      </c>
      <c r="BM32" s="11" t="n">
        <v>50.0465500188502</v>
      </c>
      <c r="BN32" s="11" t="n">
        <v>553.458773384542</v>
      </c>
      <c r="BO32" s="11" t="n">
        <v>467.271259736478</v>
      </c>
      <c r="BP32" s="11" t="n">
        <v>354.93978614327</v>
      </c>
      <c r="BQ32" s="11" t="n">
        <v>291.577084438795</v>
      </c>
    </row>
    <row r="33" customFormat="false" ht="13.8" hidden="false" customHeight="false" outlineLevel="0" collapsed="false">
      <c r="A33" s="11" t="s">
        <v>155</v>
      </c>
      <c r="B33" s="11" t="s">
        <v>146</v>
      </c>
      <c r="C33" s="11" t="s">
        <v>139</v>
      </c>
      <c r="D33" s="12"/>
      <c r="E33" s="11" t="n">
        <v>1.27297720515135</v>
      </c>
      <c r="F33" s="11" t="n">
        <v>1.25061064970842</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0.553564609166542</v>
      </c>
      <c r="R33" s="11" t="n">
        <v>0.490426598642273</v>
      </c>
      <c r="S33" s="11" t="n">
        <v>0.442652781387932</v>
      </c>
      <c r="T33" s="11" t="n">
        <v>0.405383013533054</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0.0747884074140275</v>
      </c>
      <c r="AJ33" s="11" t="n">
        <v>0.0810221488085114</v>
      </c>
      <c r="AK33" s="11" t="n">
        <v>0.0850575444875325</v>
      </c>
      <c r="AL33" s="11" t="n">
        <v>0.0856761920612092</v>
      </c>
      <c r="AM33" s="11" t="n">
        <v>0.0916319440299271</v>
      </c>
      <c r="AN33" s="11" t="n">
        <v>0.0909220402263708</v>
      </c>
      <c r="AO33" s="11" t="n">
        <v>0.0887847226059812</v>
      </c>
      <c r="AP33" s="11" t="n">
        <v>0.0874213707449065</v>
      </c>
      <c r="AQ33" s="11" t="n">
        <v>0.0851266982160392</v>
      </c>
      <c r="AR33" s="11" t="n">
        <v>0.081853719926959</v>
      </c>
      <c r="AS33" s="11" t="n">
        <v>0.0775008423481187</v>
      </c>
      <c r="AT33" s="11" t="n">
        <v>0.0735879561705801</v>
      </c>
      <c r="AU33" s="11" t="n">
        <v>0.0698419984398441</v>
      </c>
      <c r="AV33" s="11" t="n">
        <v>0.0662795215786914</v>
      </c>
      <c r="AW33" s="11" t="n">
        <v>0.0630125708730118</v>
      </c>
      <c r="AX33" s="11" t="n">
        <v>0.0600180556059383</v>
      </c>
      <c r="AY33" s="11" t="n">
        <v>0.0572482700216834</v>
      </c>
      <c r="AZ33" s="11" t="n">
        <v>0.0547492546727604</v>
      </c>
      <c r="BA33" s="11" t="n">
        <v>0.0525083216104856</v>
      </c>
      <c r="BB33" s="11" t="n">
        <v>0.0504447021791517</v>
      </c>
      <c r="BC33" s="11" t="n">
        <v>0.0486284145128167</v>
      </c>
      <c r="BD33" s="11" t="n">
        <v>0.0469460352808464</v>
      </c>
      <c r="BE33" s="11" t="n">
        <v>0.0455948412122582</v>
      </c>
      <c r="BF33" s="11" t="n">
        <v>0.0444130820672416</v>
      </c>
      <c r="BG33" s="11" t="n">
        <v>0.0434512625123249</v>
      </c>
      <c r="BH33" s="11" t="n">
        <v>0.0427277996710602</v>
      </c>
      <c r="BI33" s="11" t="n">
        <v>0.042194037780112</v>
      </c>
      <c r="BJ33" s="11" t="n">
        <v>0.041729662371812</v>
      </c>
      <c r="BK33" s="11" t="n">
        <v>0.0413945425814667</v>
      </c>
      <c r="BL33" s="11" t="n">
        <v>0.0411661581819669</v>
      </c>
      <c r="BM33" s="11" t="n">
        <v>0.0410079760412656</v>
      </c>
      <c r="BN33" s="11" t="n">
        <v>0.444436269668395</v>
      </c>
      <c r="BO33" s="11" t="n">
        <v>0.387911215101541</v>
      </c>
      <c r="BP33" s="11" t="n">
        <v>0.301307672752085</v>
      </c>
      <c r="BQ33" s="11" t="n">
        <v>0.244122314795559</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0.890620745807166</v>
      </c>
      <c r="X34" s="11" t="n">
        <v>0.844914398363468</v>
      </c>
      <c r="Y34" s="11" t="n">
        <v>0.849296904955032</v>
      </c>
      <c r="Z34" s="11" t="n">
        <v>0.862456549136757</v>
      </c>
      <c r="AA34" s="11" t="n">
        <v>0.877239206896131</v>
      </c>
      <c r="AB34" s="11" t="n">
        <v>0.894622354167945</v>
      </c>
      <c r="AC34" s="11" t="n">
        <v>0.934204816450957</v>
      </c>
      <c r="AD34" s="11" t="n">
        <v>0.949799549113104</v>
      </c>
      <c r="AE34" s="11" t="n">
        <v>0.987987362907361</v>
      </c>
      <c r="AF34" s="11" t="n">
        <v>1.00785908615541</v>
      </c>
      <c r="AG34" s="11" t="n">
        <v>1.01707539544984</v>
      </c>
      <c r="AH34" s="11" t="n">
        <v>0.991684737617365</v>
      </c>
      <c r="AI34" s="11" t="n">
        <v>0.871004562768477</v>
      </c>
      <c r="AJ34" s="11" t="n">
        <v>0.922070495488821</v>
      </c>
      <c r="AK34" s="11" t="n">
        <v>0.917810058079545</v>
      </c>
      <c r="AL34" s="11" t="n">
        <v>0.895428540077311</v>
      </c>
      <c r="AM34" s="11" t="n">
        <v>0.962369082226078</v>
      </c>
      <c r="AN34" s="11" t="n">
        <v>0.957869560686698</v>
      </c>
      <c r="AO34" s="11" t="n">
        <v>0.940662521282016</v>
      </c>
      <c r="AP34" s="11" t="n">
        <v>0.921588514747004</v>
      </c>
      <c r="AQ34" s="11" t="n">
        <v>0.897867072672277</v>
      </c>
      <c r="AR34" s="11" t="n">
        <v>0.869521869158786</v>
      </c>
      <c r="AS34" s="11" t="n">
        <v>0.837905068825973</v>
      </c>
      <c r="AT34" s="11" t="n">
        <v>0.810299969050468</v>
      </c>
      <c r="AU34" s="11" t="n">
        <v>0.785314718330419</v>
      </c>
      <c r="AV34" s="11" t="n">
        <v>0.762996028526453</v>
      </c>
      <c r="AW34" s="11" t="n">
        <v>0.744469377356931</v>
      </c>
      <c r="AX34" s="11" t="n">
        <v>0.729270906506947</v>
      </c>
      <c r="AY34" s="11" t="n">
        <v>0.716629332371664</v>
      </c>
      <c r="AZ34" s="11" t="n">
        <v>0.70601403822678</v>
      </c>
      <c r="BA34" s="11" t="n">
        <v>0.697679255064927</v>
      </c>
      <c r="BB34" s="11" t="n">
        <v>0.691197162246782</v>
      </c>
      <c r="BC34" s="11" t="n">
        <v>0.686056321656998</v>
      </c>
      <c r="BD34" s="11" t="n">
        <v>0.680581381170324</v>
      </c>
      <c r="BE34" s="11" t="n">
        <v>0.676693046162658</v>
      </c>
      <c r="BF34" s="11" t="n">
        <v>0.673601375377974</v>
      </c>
      <c r="BG34" s="11" t="n">
        <v>0.671740017138114</v>
      </c>
      <c r="BH34" s="11" t="n">
        <v>0.670733644824204</v>
      </c>
      <c r="BI34" s="11" t="n">
        <v>0.670533539723488</v>
      </c>
      <c r="BJ34" s="11" t="n">
        <v>0.670504862739021</v>
      </c>
      <c r="BK34" s="11" t="n">
        <v>0.671402243800527</v>
      </c>
      <c r="BL34" s="11" t="n">
        <v>0.673092176426854</v>
      </c>
      <c r="BM34" s="11" t="n">
        <v>0.674509671730671</v>
      </c>
      <c r="BN34" s="11" t="n">
        <v>4.67791821901911</v>
      </c>
      <c r="BO34" s="11" t="n">
        <v>4.20090869803792</v>
      </c>
      <c r="BP34" s="11" t="n">
        <v>3.65937968298877</v>
      </c>
      <c r="BQ34" s="11" t="n">
        <v>3.43220716630169</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7.05228750474408</v>
      </c>
      <c r="Q35" s="11" t="n">
        <v>7.4688138300499</v>
      </c>
      <c r="R35" s="11" t="n">
        <v>8.25870624154292</v>
      </c>
      <c r="S35" s="11" t="n">
        <v>7.36937772653388</v>
      </c>
      <c r="T35" s="11" t="n">
        <v>8.09555591302204</v>
      </c>
      <c r="U35" s="11" t="n">
        <v>8.88703175483168</v>
      </c>
      <c r="V35" s="11" t="n">
        <v>9.24213661121652</v>
      </c>
      <c r="W35" s="11" t="n">
        <v>9.58107153266835</v>
      </c>
      <c r="X35" s="11" t="n">
        <v>10.0020094196355</v>
      </c>
      <c r="Y35" s="11" t="n">
        <v>10.4979550302191</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4.09884472060176</v>
      </c>
      <c r="AU35" s="11" t="n">
        <v>3.89091088317771</v>
      </c>
      <c r="AV35" s="11" t="n">
        <v>3.70734813175857</v>
      </c>
      <c r="AW35" s="11" t="n">
        <v>3.53638632023551</v>
      </c>
      <c r="AX35" s="11" t="n">
        <v>3.38044042697567</v>
      </c>
      <c r="AY35" s="11" t="n">
        <v>3.24624656805012</v>
      </c>
      <c r="AZ35" s="11" t="n">
        <v>3.14013667374679</v>
      </c>
      <c r="BA35" s="11" t="n">
        <v>3.06190005083168</v>
      </c>
      <c r="BB35" s="11" t="n">
        <v>3.0277117596006</v>
      </c>
      <c r="BC35" s="11" t="n">
        <v>3.01583177269943</v>
      </c>
      <c r="BD35" s="11" t="n">
        <v>3.01833912244435</v>
      </c>
      <c r="BE35" s="11" t="n">
        <v>3.03328730057938</v>
      </c>
      <c r="BF35" s="11" t="n">
        <v>3.05775648539494</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1.48366130882975</v>
      </c>
      <c r="F36" s="11" t="n">
        <v>1.24305334298279</v>
      </c>
      <c r="G36" s="11" t="n">
        <v>0.617640551647897</v>
      </c>
      <c r="H36" s="11" t="n">
        <v>0.538700846476154</v>
      </c>
      <c r="I36" s="11" t="n">
        <v>0.546409279966551</v>
      </c>
      <c r="J36" s="11" t="n">
        <v>0.533270281772292</v>
      </c>
      <c r="K36" s="11" t="n">
        <v>0.531928867885412</v>
      </c>
      <c r="L36" s="11" t="n">
        <v>0.44692564402011</v>
      </c>
      <c r="M36" s="11" t="n">
        <v>0.43528910732139</v>
      </c>
      <c r="N36" s="11" t="n">
        <v>0.412312802276656</v>
      </c>
      <c r="O36" s="11" t="n">
        <v>0.51862161306472</v>
      </c>
      <c r="P36" s="11" t="n">
        <v>0.432138729457178</v>
      </c>
      <c r="Q36" s="11" t="n">
        <v>0.364067786446408</v>
      </c>
      <c r="R36" s="11" t="n">
        <v>0.318513971049458</v>
      </c>
      <c r="S36" s="11" t="n">
        <v>0.402942811428176</v>
      </c>
      <c r="T36" s="11" t="n">
        <v>0.368307653921605</v>
      </c>
      <c r="U36" s="11" t="n">
        <v>0.369821205860997</v>
      </c>
      <c r="V36" s="11" t="n">
        <v>0.277694286963564</v>
      </c>
      <c r="W36" s="11" t="n">
        <v>0.255311612882481</v>
      </c>
      <c r="X36" s="11" t="n">
        <v>0.195240026958578</v>
      </c>
      <c r="Y36" s="11" t="n">
        <v>0.281496039558142</v>
      </c>
      <c r="Z36" s="11" t="n">
        <v>0.399303588048535</v>
      </c>
      <c r="AA36" s="11" t="n">
        <v>0.243138181819986</v>
      </c>
      <c r="AB36" s="11" t="n">
        <v>0.294217429839836</v>
      </c>
      <c r="AC36" s="11" t="n">
        <v>0.23782779605641</v>
      </c>
      <c r="AD36" s="11" t="n">
        <v>0.274427975434271</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0.145322964863699</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0.788373788456026</v>
      </c>
      <c r="BP36" s="11" t="n">
        <v>0.788373788456026</v>
      </c>
      <c r="BQ36" s="11" t="n">
        <v>0.788373788456026</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0.426418736992623</v>
      </c>
      <c r="AE37" s="11" t="n">
        <v>0.458386532676318</v>
      </c>
      <c r="AF37" s="11" t="n">
        <v>0.460093295564997</v>
      </c>
      <c r="AG37" s="11" t="n">
        <v>0.565037427403676</v>
      </c>
      <c r="AH37" s="11" t="n">
        <v>0.49719676355469</v>
      </c>
      <c r="AI37" s="11" t="n">
        <v>0.425406162786779</v>
      </c>
      <c r="AJ37" s="11" t="n">
        <v>0.38749956929647</v>
      </c>
      <c r="AK37" s="11" t="n">
        <v>0.333442729385777</v>
      </c>
      <c r="AL37" s="11" t="n">
        <v>0.301791676439176</v>
      </c>
      <c r="AM37" s="11" t="n">
        <v>0.307854862676676</v>
      </c>
      <c r="AN37" s="11" t="n">
        <v>0.314290204270113</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0.372815184884234</v>
      </c>
      <c r="AW37" s="11" t="n">
        <v>0.380977508595361</v>
      </c>
      <c r="AX37" s="11" t="n">
        <v>0.389343890399265</v>
      </c>
      <c r="AY37" s="11" t="n">
        <v>0.389343890399265</v>
      </c>
      <c r="AZ37" s="11" t="n">
        <v>0.389343890399265</v>
      </c>
      <c r="BA37" s="11" t="n">
        <v>0.389343890399265</v>
      </c>
      <c r="BB37" s="11" t="n">
        <v>0.389343890399265</v>
      </c>
      <c r="BC37" s="11" t="n">
        <v>0.389343890399265</v>
      </c>
      <c r="BD37" s="11" t="n">
        <v>0.389343890399265</v>
      </c>
      <c r="BE37" s="11" t="n">
        <v>0.389343890399265</v>
      </c>
      <c r="BF37" s="11" t="n">
        <v>0.389343890399265</v>
      </c>
      <c r="BG37" s="11" t="n">
        <v>0.389343890399265</v>
      </c>
      <c r="BH37" s="11" t="n">
        <v>0.389343890399265</v>
      </c>
      <c r="BI37" s="11" t="n">
        <v>0.389343890399265</v>
      </c>
      <c r="BJ37" s="11" t="n">
        <v>0.389343890399265</v>
      </c>
      <c r="BK37" s="11" t="n">
        <v>0.389343890399265</v>
      </c>
      <c r="BL37" s="11" t="n">
        <v>0.389343890399265</v>
      </c>
      <c r="BM37" s="11" t="n">
        <v>0.389343890399265</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27.8666115887723</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9.76119296086783</v>
      </c>
      <c r="AB40" s="11" t="n">
        <v>8.41545417361807</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4.60818214072732</v>
      </c>
      <c r="AO40" s="11" t="n">
        <v>4.5132521960876</v>
      </c>
      <c r="AP40" s="11" t="n">
        <v>4.42836300944687</v>
      </c>
      <c r="AQ40" s="11" t="n">
        <v>4.33504168505129</v>
      </c>
      <c r="AR40" s="11" t="n">
        <v>4.26727743544378</v>
      </c>
      <c r="AS40" s="11" t="n">
        <v>4.16180609712301</v>
      </c>
      <c r="AT40" s="11" t="n">
        <v>4.08391022620273</v>
      </c>
      <c r="AU40" s="11" t="n">
        <v>4.00203456190938</v>
      </c>
      <c r="AV40" s="11" t="n">
        <v>3.92099641873624</v>
      </c>
      <c r="AW40" s="11" t="n">
        <v>3.9112258391371</v>
      </c>
      <c r="AX40" s="11" t="n">
        <v>3.90329286477634</v>
      </c>
      <c r="AY40" s="11" t="n">
        <v>3.84481600291072</v>
      </c>
      <c r="AZ40" s="11" t="n">
        <v>3.7976161839907</v>
      </c>
      <c r="BA40" s="11" t="n">
        <v>3.79400015565427</v>
      </c>
      <c r="BB40" s="11" t="n">
        <v>3.7759729732331</v>
      </c>
      <c r="BC40" s="11" t="n">
        <v>3.76885608006965</v>
      </c>
      <c r="BD40" s="11" t="n">
        <v>3.70815559022752</v>
      </c>
      <c r="BE40" s="11" t="n">
        <v>3.67002933667305</v>
      </c>
      <c r="BF40" s="11" t="n">
        <v>3.66231179000805</v>
      </c>
      <c r="BG40" s="11" t="n">
        <v>3.65876258264706</v>
      </c>
      <c r="BH40" s="11" t="n">
        <v>3.65457278838883</v>
      </c>
      <c r="BI40" s="11" t="n">
        <v>3.65168890395992</v>
      </c>
      <c r="BJ40" s="11" t="n">
        <v>3.63997932012981</v>
      </c>
      <c r="BK40" s="11" t="n">
        <v>3.62690637007528</v>
      </c>
      <c r="BL40" s="11" t="n">
        <v>3.61338299177007</v>
      </c>
      <c r="BM40" s="11" t="n">
        <v>3.60672947880083</v>
      </c>
      <c r="BN40" s="11" t="n">
        <v>22.9543136845005</v>
      </c>
      <c r="BO40" s="11" t="n">
        <v>20.8500700057302</v>
      </c>
      <c r="BP40" s="11" t="n">
        <v>19.3779473095511</v>
      </c>
      <c r="BQ40" s="11" t="n">
        <v>18.7170141358576</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0.442894292416788</v>
      </c>
      <c r="O41" s="11" t="n">
        <v>0.440832972272152</v>
      </c>
      <c r="P41" s="11" t="n">
        <v>0.46202476197879</v>
      </c>
      <c r="Q41" s="11" t="n">
        <v>0.491979479550147</v>
      </c>
      <c r="R41" s="11" t="n">
        <v>0.432768472682193</v>
      </c>
      <c r="S41" s="11" t="n">
        <v>0.421690806993512</v>
      </c>
      <c r="T41" s="11" t="n">
        <v>0.412567690229287</v>
      </c>
      <c r="U41" s="11" t="n">
        <v>0.382106826564727</v>
      </c>
      <c r="V41" s="11" t="n">
        <v>0.370533797808131</v>
      </c>
      <c r="W41" s="11" t="n">
        <v>0.362480367766961</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0.259826594914701</v>
      </c>
      <c r="AQ41" s="11" t="n">
        <v>0.252551758120265</v>
      </c>
      <c r="AR41" s="11" t="n">
        <v>0.242641902370847</v>
      </c>
      <c r="AS41" s="11" t="n">
        <v>0.233218003086929</v>
      </c>
      <c r="AT41" s="11" t="n">
        <v>0.22053906038247</v>
      </c>
      <c r="AU41" s="11" t="n">
        <v>0.203643509593306</v>
      </c>
      <c r="AV41" s="11" t="n">
        <v>0.186312550598975</v>
      </c>
      <c r="AW41" s="11" t="n">
        <v>0.184860008589182</v>
      </c>
      <c r="AX41" s="11" t="n">
        <v>0.182500573003159</v>
      </c>
      <c r="AY41" s="11" t="n">
        <v>0.162360845078634</v>
      </c>
      <c r="AZ41" s="11" t="n">
        <v>0.0674546792871321</v>
      </c>
      <c r="BA41" s="11" t="n">
        <v>0.0673403531980414</v>
      </c>
      <c r="BB41" s="11" t="n">
        <v>0.058502968309159</v>
      </c>
      <c r="BC41" s="11" t="n">
        <v>0.0581678143369751</v>
      </c>
      <c r="BD41" s="11" t="n">
        <v>0.0373879612676024</v>
      </c>
      <c r="BE41" s="11" t="n">
        <v>0.0277102342592243</v>
      </c>
      <c r="BF41" s="11" t="n">
        <v>0.0277097774370079</v>
      </c>
      <c r="BG41" s="11" t="n">
        <v>0.0276567516994801</v>
      </c>
      <c r="BH41" s="11" t="n">
        <v>0.0240764958787409</v>
      </c>
      <c r="BI41" s="11" t="n">
        <v>0.0242330378964321</v>
      </c>
      <c r="BJ41" s="11" t="n">
        <v>0.0232321758114532</v>
      </c>
      <c r="BK41" s="11" t="n">
        <v>0.0174688939437664</v>
      </c>
      <c r="BL41" s="11" t="n">
        <v>0.0128977331393986</v>
      </c>
      <c r="BM41" s="11" t="n">
        <v>0.0103055391778412</v>
      </c>
      <c r="BN41" s="11" t="n">
        <v>1.3333713882988</v>
      </c>
      <c r="BO41" s="11" t="n">
        <v>1.15259423355382</v>
      </c>
      <c r="BP41" s="11" t="n">
        <v>0.783488656557082</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53.8265487822321</v>
      </c>
      <c r="AN42" s="11" t="n">
        <v>51.9311031041124</v>
      </c>
      <c r="AO42" s="11" t="n">
        <v>51.1584720785685</v>
      </c>
      <c r="AP42" s="11" t="n">
        <v>51.0222124406149</v>
      </c>
      <c r="AQ42" s="11" t="n">
        <v>50.7582238433869</v>
      </c>
      <c r="AR42" s="11" t="n">
        <v>50.5184283802836</v>
      </c>
      <c r="AS42" s="11" t="n">
        <v>50.186892247196</v>
      </c>
      <c r="AT42" s="11" t="n">
        <v>50.0665158551241</v>
      </c>
      <c r="AU42" s="11" t="n">
        <v>50.0273664839061</v>
      </c>
      <c r="AV42" s="11" t="n">
        <v>49.9928128814066</v>
      </c>
      <c r="AW42" s="11" t="n">
        <v>49.7238655698321</v>
      </c>
      <c r="AX42" s="11" t="n">
        <v>49.6592171318567</v>
      </c>
      <c r="AY42" s="11" t="n">
        <v>49.6325594460465</v>
      </c>
      <c r="AZ42" s="11" t="n">
        <v>49.8701054170809</v>
      </c>
      <c r="BA42" s="11" t="n">
        <v>49.9951873852495</v>
      </c>
      <c r="BB42" s="11" t="n">
        <v>50.2936700482872</v>
      </c>
      <c r="BC42" s="11" t="n">
        <v>50.9336191973679</v>
      </c>
      <c r="BD42" s="11" t="n">
        <v>51.8447399402708</v>
      </c>
      <c r="BE42" s="11" t="n">
        <v>52.1888806158756</v>
      </c>
      <c r="BF42" s="11" t="n">
        <v>52.6664271481093</v>
      </c>
      <c r="BG42" s="11" t="n">
        <v>53.1041620874105</v>
      </c>
      <c r="BH42" s="11" t="n">
        <v>53.6529247924644</v>
      </c>
      <c r="BI42" s="11" t="n">
        <v>54.2733264396165</v>
      </c>
      <c r="BJ42" s="11" t="n">
        <v>54.7579205105907</v>
      </c>
      <c r="BK42" s="11" t="n">
        <v>55.431286797189</v>
      </c>
      <c r="BL42" s="11" t="n">
        <v>55.9338332430623</v>
      </c>
      <c r="BM42" s="11" t="n">
        <v>56.5835452587683</v>
      </c>
      <c r="BN42" s="11" t="n">
        <v>271.403842901127</v>
      </c>
      <c r="BO42" s="11" t="n">
        <v>251.557426809897</v>
      </c>
      <c r="BP42" s="11" t="n">
        <v>248.878560446223</v>
      </c>
      <c r="BQ42" s="11" t="n">
        <v>255.256097187051</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0.131857151900525</v>
      </c>
      <c r="AN43" s="11" t="n">
        <v>0.129784762078217</v>
      </c>
      <c r="AO43" s="11" t="n">
        <v>0.129720158822607</v>
      </c>
      <c r="AP43" s="11" t="n">
        <v>0.129541978712813</v>
      </c>
      <c r="AQ43" s="11" t="n">
        <v>0.130272919640569</v>
      </c>
      <c r="AR43" s="11" t="n">
        <v>0.130349465971865</v>
      </c>
      <c r="AS43" s="11" t="n">
        <v>0.130321868446896</v>
      </c>
      <c r="AT43" s="11" t="n">
        <v>0.130910065095281</v>
      </c>
      <c r="AU43" s="11" t="n">
        <v>0.131044939155403</v>
      </c>
      <c r="AV43" s="11" t="n">
        <v>0.130472774060153</v>
      </c>
      <c r="AW43" s="11" t="n">
        <v>0.12890009346941</v>
      </c>
      <c r="AX43" s="11" t="n">
        <v>0.125839432394987</v>
      </c>
      <c r="AY43" s="11" t="n">
        <v>0.12279547582623</v>
      </c>
      <c r="AZ43" s="11" t="n">
        <v>0.118125909637564</v>
      </c>
      <c r="BA43" s="11" t="n">
        <v>0.115386107328139</v>
      </c>
      <c r="BB43" s="11" t="n">
        <v>0.114784331831883</v>
      </c>
      <c r="BC43" s="11" t="n">
        <v>0.115771504569992</v>
      </c>
      <c r="BD43" s="11" t="n">
        <v>0.116433004538187</v>
      </c>
      <c r="BE43" s="11" t="n">
        <v>0.116751763138011</v>
      </c>
      <c r="BF43" s="11" t="n">
        <v>0.11831668310188</v>
      </c>
      <c r="BG43" s="11" t="n">
        <v>0.119913576245583</v>
      </c>
      <c r="BH43" s="11" t="n">
        <v>0.121369349139135</v>
      </c>
      <c r="BI43" s="11" t="n">
        <v>0.122754270982981</v>
      </c>
      <c r="BJ43" s="11" t="n">
        <v>0.124053634498166</v>
      </c>
      <c r="BK43" s="11" t="n">
        <v>0.125592445841633</v>
      </c>
      <c r="BL43" s="11" t="n">
        <v>0.127322523847909</v>
      </c>
      <c r="BM43" s="11" t="n">
        <v>0.129131407083013</v>
      </c>
      <c r="BN43" s="11" t="n">
        <v>0.665087044166573</v>
      </c>
      <c r="BO43" s="11" t="n">
        <v>0.652899258310014</v>
      </c>
      <c r="BP43" s="11" t="n">
        <v>0.626133685388345</v>
      </c>
      <c r="BQ43" s="11" t="n">
        <v>0.579126711406213</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5.07364558948497</v>
      </c>
      <c r="P44" s="11" t="n">
        <v>4.45325880525414</v>
      </c>
      <c r="Q44" s="11" t="n">
        <v>3.01842197338898</v>
      </c>
      <c r="R44" s="11" t="n">
        <v>2.81505100334472</v>
      </c>
      <c r="S44" s="11" t="n">
        <v>3.63996062651573</v>
      </c>
      <c r="T44" s="11" t="n">
        <v>3.0442791940789</v>
      </c>
      <c r="U44" s="11" t="n">
        <v>2.54557292799599</v>
      </c>
      <c r="V44" s="11" t="n">
        <v>2.90942202484568</v>
      </c>
      <c r="W44" s="11" t="n">
        <v>2.72152512967184</v>
      </c>
      <c r="X44" s="11" t="n">
        <v>1.44743896649675</v>
      </c>
      <c r="Y44" s="11" t="n">
        <v>1.57729522759961</v>
      </c>
      <c r="Z44" s="11" t="n">
        <v>0.759835128682743</v>
      </c>
      <c r="AA44" s="11" t="n">
        <v>0.689927058145182</v>
      </c>
      <c r="AB44" s="11" t="n">
        <v>0.671846126192616</v>
      </c>
      <c r="AC44" s="11" t="n">
        <v>0.710807215554163</v>
      </c>
      <c r="AD44" s="11" t="n">
        <v>0.675534461273334</v>
      </c>
      <c r="AE44" s="11" t="n">
        <v>0.644171223541193</v>
      </c>
      <c r="AF44" s="11" t="n">
        <v>0.655595617940846</v>
      </c>
      <c r="AG44" s="11" t="n">
        <v>0.671057262333067</v>
      </c>
      <c r="AH44" s="11" t="n">
        <v>0.665186983520861</v>
      </c>
      <c r="AI44" s="11" t="n">
        <v>0.562024686597679</v>
      </c>
      <c r="AJ44" s="11" t="n">
        <v>0.532178473754611</v>
      </c>
      <c r="AK44" s="11" t="n">
        <v>0.466551853454806</v>
      </c>
      <c r="AL44" s="11" t="n">
        <v>0.477826020714757</v>
      </c>
      <c r="AM44" s="11" t="n">
        <v>0.505082913383914</v>
      </c>
      <c r="AN44" s="11" t="n">
        <v>0.504943067422266</v>
      </c>
      <c r="AO44" s="11" t="n">
        <v>0.505521602434887</v>
      </c>
      <c r="AP44" s="11" t="n">
        <v>0.506124272550123</v>
      </c>
      <c r="AQ44" s="11" t="n">
        <v>0.507461122092697</v>
      </c>
      <c r="AR44" s="11" t="n">
        <v>0.509273931062242</v>
      </c>
      <c r="AS44" s="11" t="n">
        <v>0.511555090374086</v>
      </c>
      <c r="AT44" s="11" t="n">
        <v>0.51315823762906</v>
      </c>
      <c r="AU44" s="11" t="n">
        <v>0.514141379524006</v>
      </c>
      <c r="AV44" s="11" t="n">
        <v>0.514262692272479</v>
      </c>
      <c r="AW44" s="11" t="n">
        <v>0.51369907320913</v>
      </c>
      <c r="AX44" s="11" t="n">
        <v>0.511350812369085</v>
      </c>
      <c r="AY44" s="11" t="n">
        <v>0.508444007736767</v>
      </c>
      <c r="AZ44" s="11" t="n">
        <v>0.504703918022076</v>
      </c>
      <c r="BA44" s="11" t="n">
        <v>0.504233431675987</v>
      </c>
      <c r="BB44" s="11" t="n">
        <v>0.506891968032634</v>
      </c>
      <c r="BC44" s="11" t="n">
        <v>0.510246369282304</v>
      </c>
      <c r="BD44" s="11" t="n">
        <v>0.513422060662898</v>
      </c>
      <c r="BE44" s="11" t="n">
        <v>0.516054987085168</v>
      </c>
      <c r="BF44" s="11" t="n">
        <v>0.520275858237362</v>
      </c>
      <c r="BG44" s="11" t="n">
        <v>0.524552243329688</v>
      </c>
      <c r="BH44" s="11" t="n">
        <v>0.528652300477925</v>
      </c>
      <c r="BI44" s="11" t="n">
        <v>0.533172527391979</v>
      </c>
      <c r="BJ44" s="11" t="n">
        <v>0.537620840922811</v>
      </c>
      <c r="BK44" s="11" t="n">
        <v>0.542368114359445</v>
      </c>
      <c r="BL44" s="11" t="n">
        <v>0.5473924274</v>
      </c>
      <c r="BM44" s="11" t="n">
        <v>0.552515123733482</v>
      </c>
      <c r="BN44" s="11" t="n">
        <v>2.49949787650595</v>
      </c>
      <c r="BO44" s="11" t="n">
        <v>2.55558976068209</v>
      </c>
      <c r="BP44" s="11" t="n">
        <v>2.55246050360954</v>
      </c>
      <c r="BQ44" s="11" t="n">
        <v>2.55084881673899</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5.55186504357902</v>
      </c>
      <c r="H46" s="11" t="n">
        <v>5.54746647872344</v>
      </c>
      <c r="I46" s="11" t="n">
        <v>5.53902951394119</v>
      </c>
      <c r="J46" s="11" t="n">
        <v>5.54965155198649</v>
      </c>
      <c r="K46" s="11" t="n">
        <v>5.53405930164697</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5.57797283010562</v>
      </c>
      <c r="X46" s="11" t="n">
        <v>5.57878522339053</v>
      </c>
      <c r="Y46" s="11" t="n">
        <v>5.60501096444991</v>
      </c>
      <c r="Z46" s="11" t="n">
        <v>5.62372281146323</v>
      </c>
      <c r="AA46" s="11" t="n">
        <v>5.61193731105979</v>
      </c>
      <c r="AB46" s="11" t="n">
        <v>5.62617031143543</v>
      </c>
      <c r="AC46" s="11" t="n">
        <v>5.60602836886574</v>
      </c>
      <c r="AD46" s="11" t="n">
        <v>5.62278898771431</v>
      </c>
      <c r="AE46" s="11" t="n">
        <v>5.64143854355453</v>
      </c>
      <c r="AF46" s="11" t="n">
        <v>5.63907784389892</v>
      </c>
      <c r="AG46" s="11" t="n">
        <v>5.69160270708721</v>
      </c>
      <c r="AH46" s="11" t="n">
        <v>5.70956542589149</v>
      </c>
      <c r="AI46" s="11" t="n">
        <v>5.68909600002544</v>
      </c>
      <c r="AJ46" s="11" t="n">
        <v>5.69657165648638</v>
      </c>
      <c r="AK46" s="11" t="n">
        <v>5.71939302059153</v>
      </c>
      <c r="AL46" s="11" t="n">
        <v>5.75129142539663</v>
      </c>
      <c r="AM46" s="11" t="n">
        <v>5.77843961940047</v>
      </c>
      <c r="AN46" s="11" t="n">
        <v>5.82893431121417</v>
      </c>
      <c r="AO46" s="11" t="n">
        <v>5.87516461238546</v>
      </c>
      <c r="AP46" s="11" t="n">
        <v>5.92092678246998</v>
      </c>
      <c r="AQ46" s="11" t="n">
        <v>5.96055627423853</v>
      </c>
      <c r="AR46" s="11" t="n">
        <v>6.00469813847712</v>
      </c>
      <c r="AS46" s="11" t="n">
        <v>6.04871755683646</v>
      </c>
      <c r="AT46" s="11" t="n">
        <v>6.05489975770093</v>
      </c>
      <c r="AU46" s="11" t="n">
        <v>6.05930697368643</v>
      </c>
      <c r="AV46" s="11" t="n">
        <v>6.05892463983378</v>
      </c>
      <c r="AW46" s="11" t="n">
        <v>6.05840612219305</v>
      </c>
      <c r="AX46" s="11" t="n">
        <v>6.05759619889438</v>
      </c>
      <c r="AY46" s="11" t="n">
        <v>6.05669382061206</v>
      </c>
      <c r="AZ46" s="11" t="n">
        <v>6.05564215321823</v>
      </c>
      <c r="BA46" s="11" t="n">
        <v>6.05407666296171</v>
      </c>
      <c r="BB46" s="11" t="n">
        <v>6.05265111772195</v>
      </c>
      <c r="BC46" s="11" t="n">
        <v>6.05111180786035</v>
      </c>
      <c r="BD46" s="11" t="n">
        <v>6.05087833472176</v>
      </c>
      <c r="BE46" s="11" t="n">
        <v>6.05117502944991</v>
      </c>
      <c r="BF46" s="11" t="n">
        <v>6.05153060471665</v>
      </c>
      <c r="BG46" s="11" t="n">
        <v>6.04367299685357</v>
      </c>
      <c r="BH46" s="11" t="n">
        <v>6.03767307245211</v>
      </c>
      <c r="BI46" s="11" t="n">
        <v>6.02978817960862</v>
      </c>
      <c r="BJ46" s="11" t="n">
        <v>6.02218043965274</v>
      </c>
      <c r="BK46" s="11" t="n">
        <v>6.01467645946509</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1.54590973355711</v>
      </c>
      <c r="U47" s="11" t="n">
        <v>1.51233022580462</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37.8563107926445</v>
      </c>
      <c r="AN48" s="11" t="n">
        <v>26.1527957417615</v>
      </c>
      <c r="AO48" s="11" t="n">
        <v>23.9637372202814</v>
      </c>
      <c r="AP48" s="11" t="n">
        <v>21.5458337190721</v>
      </c>
      <c r="AQ48" s="11" t="n">
        <v>21.0886156190926</v>
      </c>
      <c r="AR48" s="11" t="n">
        <v>21.4047981977514</v>
      </c>
      <c r="AS48" s="11" t="n">
        <v>23.6300636335211</v>
      </c>
      <c r="AT48" s="11" t="n">
        <v>24.3198364357946</v>
      </c>
      <c r="AU48" s="11" t="n">
        <v>25.3914862559932</v>
      </c>
      <c r="AV48" s="11" t="n">
        <v>27.1191361017393</v>
      </c>
      <c r="AW48" s="11" t="n">
        <v>28.8372169738116</v>
      </c>
      <c r="AX48" s="11" t="n">
        <v>30.2169462126672</v>
      </c>
      <c r="AY48" s="11" t="n">
        <v>29.4450068809608</v>
      </c>
      <c r="AZ48" s="11" t="n">
        <v>29.4022802875254</v>
      </c>
      <c r="BA48" s="11" t="n">
        <v>30.0991596916817</v>
      </c>
      <c r="BB48" s="11" t="n">
        <v>30.6438752290636</v>
      </c>
      <c r="BC48" s="11" t="n">
        <v>31.2821908147781</v>
      </c>
      <c r="BD48" s="11" t="n">
        <v>33.0914907664911</v>
      </c>
      <c r="BE48" s="11" t="n">
        <v>34.9390462284496</v>
      </c>
      <c r="BF48" s="11" t="n">
        <v>36.5139844303099</v>
      </c>
      <c r="BG48" s="11" t="n">
        <v>37.9596791403896</v>
      </c>
      <c r="BH48" s="11" t="n">
        <v>39.1301507110951</v>
      </c>
      <c r="BI48" s="11" t="n">
        <v>40.3759892947387</v>
      </c>
      <c r="BJ48" s="11" t="n">
        <v>41.5738934420503</v>
      </c>
      <c r="BK48" s="11" t="n">
        <v>43.4275494095066</v>
      </c>
      <c r="BL48" s="11" t="n">
        <v>41.9788217317249</v>
      </c>
      <c r="BM48" s="11" t="n">
        <v>38.4499820445007</v>
      </c>
      <c r="BN48" s="11" t="n">
        <v>152.849578524954</v>
      </c>
      <c r="BO48" s="11" t="n">
        <v>115.834800142153</v>
      </c>
      <c r="BP48" s="11" t="n">
        <v>145.020586456704</v>
      </c>
      <c r="BQ48" s="11" t="n">
        <v>160.055762730464</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0.0709247278374883</v>
      </c>
      <c r="I49" s="11" t="n">
        <v>0.0742130274626892</v>
      </c>
      <c r="J49" s="11" t="n">
        <v>0.0748808413651573</v>
      </c>
      <c r="K49" s="11" t="n">
        <v>0.0758501153320661</v>
      </c>
      <c r="L49" s="11" t="n">
        <v>0.0732454613383986</v>
      </c>
      <c r="M49" s="11" t="n">
        <v>0.0774811747973583</v>
      </c>
      <c r="N49" s="11" t="n">
        <v>0.0793672420704025</v>
      </c>
      <c r="O49" s="11" t="n">
        <v>0.0846894349742251</v>
      </c>
      <c r="P49" s="11" t="n">
        <v>0.0917537201635203</v>
      </c>
      <c r="Q49" s="11" t="n">
        <v>0.0907429907796952</v>
      </c>
      <c r="R49" s="11" t="n">
        <v>0.0941428339572569</v>
      </c>
      <c r="S49" s="11" t="n">
        <v>0.0957489905159301</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0.211350425583012</v>
      </c>
      <c r="AE49" s="11" t="n">
        <v>0.220751805792713</v>
      </c>
      <c r="AF49" s="11" t="n">
        <v>0.222246360185227</v>
      </c>
      <c r="AG49" s="11" t="n">
        <v>0.249516926143695</v>
      </c>
      <c r="AH49" s="11" t="n">
        <v>0.272413021693873</v>
      </c>
      <c r="AI49" s="11" t="n">
        <v>0.274611055142342</v>
      </c>
      <c r="AJ49" s="11" t="n">
        <v>0.29493541718883</v>
      </c>
      <c r="AK49" s="11" t="n">
        <v>0.268806108474927</v>
      </c>
      <c r="AL49" s="11" t="n">
        <v>0.261550530209526</v>
      </c>
      <c r="AM49" s="11" t="n">
        <v>0.37970982641791</v>
      </c>
      <c r="AN49" s="11" t="n">
        <v>0.37320441641726</v>
      </c>
      <c r="AO49" s="11" t="n">
        <v>0.364535029461433</v>
      </c>
      <c r="AP49" s="11" t="n">
        <v>0.336463444081707</v>
      </c>
      <c r="AQ49" s="11" t="n">
        <v>0.247703836279976</v>
      </c>
      <c r="AR49" s="11" t="n">
        <v>0.241720419817087</v>
      </c>
      <c r="AS49" s="11" t="n">
        <v>0.227322115028871</v>
      </c>
      <c r="AT49" s="11" t="n">
        <v>0.226064428957576</v>
      </c>
      <c r="AU49" s="11" t="n">
        <v>0.182618450244116</v>
      </c>
      <c r="AV49" s="11" t="n">
        <v>0.183789438124173</v>
      </c>
      <c r="AW49" s="11" t="n">
        <v>0.184495109685504</v>
      </c>
      <c r="AX49" s="11" t="n">
        <v>0.161882200974151</v>
      </c>
      <c r="AY49" s="11" t="n">
        <v>0.158857367957658</v>
      </c>
      <c r="AZ49" s="11" t="n">
        <v>0.153864731075987</v>
      </c>
      <c r="BA49" s="11" t="n">
        <v>0.155638502288854</v>
      </c>
      <c r="BB49" s="11" t="n">
        <v>0.156660914222137</v>
      </c>
      <c r="BC49" s="11" t="n">
        <v>0.155915416410839</v>
      </c>
      <c r="BD49" s="11" t="n">
        <v>0.151838769749498</v>
      </c>
      <c r="BE49" s="11" t="n">
        <v>0.144088417423611</v>
      </c>
      <c r="BF49" s="11" t="n">
        <v>0.141492923941363</v>
      </c>
      <c r="BG49" s="11" t="n">
        <v>0.142459124568883</v>
      </c>
      <c r="BH49" s="11" t="n">
        <v>0.143749026736155</v>
      </c>
      <c r="BI49" s="11" t="n">
        <v>0.144618096588165</v>
      </c>
      <c r="BJ49" s="11" t="n">
        <v>0.145582009181634</v>
      </c>
      <c r="BK49" s="11" t="n">
        <v>0.146953928703304</v>
      </c>
      <c r="BL49" s="11" t="n">
        <v>0.146830658299946</v>
      </c>
      <c r="BM49" s="11" t="n">
        <v>0.145655818485768</v>
      </c>
      <c r="BN49" s="11" t="n">
        <v>1.71546324658784</v>
      </c>
      <c r="BO49" s="11" t="n">
        <v>1.12542925032763</v>
      </c>
      <c r="BP49" s="11" t="n">
        <v>0.842888847817473</v>
      </c>
      <c r="BQ49" s="11" t="n">
        <v>0.76414202009494</v>
      </c>
    </row>
    <row r="50" customFormat="false" ht="13.8" hidden="false" customHeight="false" outlineLevel="0" collapsed="false">
      <c r="A50" s="11" t="s">
        <v>156</v>
      </c>
      <c r="B50" s="11" t="s">
        <v>151</v>
      </c>
      <c r="C50" s="11" t="s">
        <v>139</v>
      </c>
      <c r="D50" s="12"/>
      <c r="E50" s="11" t="n">
        <v>0.984987691558184</v>
      </c>
      <c r="F50" s="11" t="n">
        <v>0.970048388417934</v>
      </c>
      <c r="G50" s="11" t="n">
        <v>0.910617933265949</v>
      </c>
      <c r="H50" s="11" t="n">
        <v>0.771978697012649</v>
      </c>
      <c r="I50" s="11" t="n">
        <v>0.737321268443208</v>
      </c>
      <c r="J50" s="11" t="n">
        <v>0.709397209019641</v>
      </c>
      <c r="K50" s="11" t="n">
        <v>0.6612887889585</v>
      </c>
      <c r="L50" s="11" t="n">
        <v>0.568914048515287</v>
      </c>
      <c r="M50" s="11" t="n">
        <v>0.586389592586241</v>
      </c>
      <c r="N50" s="11" t="n">
        <v>0.513498687002719</v>
      </c>
      <c r="O50" s="11" t="n">
        <v>0.574804572248271</v>
      </c>
      <c r="P50" s="11" t="n">
        <v>0.632355500344122</v>
      </c>
      <c r="Q50" s="11" t="n">
        <v>0.597481798965218</v>
      </c>
      <c r="R50" s="11" t="n">
        <v>0.652412845375287</v>
      </c>
      <c r="S50" s="11" t="n">
        <v>0.634687425943724</v>
      </c>
      <c r="T50" s="11" t="n">
        <v>0.672744029106066</v>
      </c>
      <c r="U50" s="11" t="n">
        <v>0.726225392133559</v>
      </c>
      <c r="V50" s="11" t="n">
        <v>0.673849210882455</v>
      </c>
      <c r="W50" s="11" t="n">
        <v>0.637459708292023</v>
      </c>
      <c r="X50" s="11" t="n">
        <v>0.548443507955348</v>
      </c>
      <c r="Y50" s="11" t="n">
        <v>0.577056570762781</v>
      </c>
      <c r="Z50" s="11" t="n">
        <v>0.580114063030645</v>
      </c>
      <c r="AA50" s="11" t="n">
        <v>0.739849019698221</v>
      </c>
      <c r="AB50" s="11" t="n">
        <v>0.714748016401048</v>
      </c>
      <c r="AC50" s="11" t="n">
        <v>0.62046564927776</v>
      </c>
      <c r="AD50" s="11" t="n">
        <v>0.568838988121384</v>
      </c>
      <c r="AE50" s="11" t="n">
        <v>0.39786726674901</v>
      </c>
      <c r="AF50" s="11" t="n">
        <v>0.365313374041686</v>
      </c>
      <c r="AG50" s="11" t="n">
        <v>0.377926428764218</v>
      </c>
      <c r="AH50" s="11" t="n">
        <v>0.368168520875392</v>
      </c>
      <c r="AI50" s="11" t="n">
        <v>0.365816544629617</v>
      </c>
      <c r="AJ50" s="11" t="n">
        <v>0.393674218221008</v>
      </c>
      <c r="AK50" s="11" t="n">
        <v>0.35714368175873</v>
      </c>
      <c r="AL50" s="11" t="n">
        <v>0.341045187738303</v>
      </c>
      <c r="AM50" s="11" t="n">
        <v>0.486334882072618</v>
      </c>
      <c r="AN50" s="11" t="n">
        <v>0.469214436782596</v>
      </c>
      <c r="AO50" s="11" t="n">
        <v>0.45862519869086</v>
      </c>
      <c r="AP50" s="11" t="n">
        <v>0.423613775840233</v>
      </c>
      <c r="AQ50" s="11" t="n">
        <v>0.312074193583336</v>
      </c>
      <c r="AR50" s="11" t="n">
        <v>0.304259642846679</v>
      </c>
      <c r="AS50" s="11" t="n">
        <v>0.285776738088914</v>
      </c>
      <c r="AT50" s="11" t="n">
        <v>0.284083629961437</v>
      </c>
      <c r="AU50" s="11" t="n">
        <v>0.229153294017073</v>
      </c>
      <c r="AV50" s="11" t="n">
        <v>0.230330428418355</v>
      </c>
      <c r="AW50" s="11" t="n">
        <v>0.230928949404544</v>
      </c>
      <c r="AX50" s="11" t="n">
        <v>0.202192266779243</v>
      </c>
      <c r="AY50" s="11" t="n">
        <v>0.198486325214236</v>
      </c>
      <c r="AZ50" s="11" t="n">
        <v>0.19218435204282</v>
      </c>
      <c r="BA50" s="11" t="n">
        <v>0.194283739791904</v>
      </c>
      <c r="BB50" s="11" t="n">
        <v>0.195471701407588</v>
      </c>
      <c r="BC50" s="11" t="n">
        <v>0.194368718593697</v>
      </c>
      <c r="BD50" s="11" t="n">
        <v>0.188933620074788</v>
      </c>
      <c r="BE50" s="11" t="n">
        <v>0.178844943556948</v>
      </c>
      <c r="BF50" s="11" t="n">
        <v>0.175272036388377</v>
      </c>
      <c r="BG50" s="11" t="n">
        <v>0.176124124063219</v>
      </c>
      <c r="BH50" s="11" t="n">
        <v>0.177267603678685</v>
      </c>
      <c r="BI50" s="11" t="n">
        <v>0.178178906554916</v>
      </c>
      <c r="BJ50" s="11" t="n">
        <v>0.179165493649327</v>
      </c>
      <c r="BK50" s="11" t="n">
        <v>0.180585919205373</v>
      </c>
      <c r="BL50" s="11" t="n">
        <v>0.180541073142521</v>
      </c>
      <c r="BM50" s="11" t="n">
        <v>0.179496188261</v>
      </c>
      <c r="BN50" s="11" t="n">
        <v>2.17883348112461</v>
      </c>
      <c r="BO50" s="11" t="n">
        <v>1.41534749849744</v>
      </c>
      <c r="BP50" s="11" t="n">
        <v>1.0541223218592</v>
      </c>
      <c r="BQ50" s="11" t="n">
        <v>0.951902723424925</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71.8668526746167</v>
      </c>
      <c r="M52" s="11" t="n">
        <v>71.437171210827</v>
      </c>
      <c r="N52" s="11" t="n">
        <v>68.9718781335775</v>
      </c>
      <c r="O52" s="11" t="n">
        <v>66.1216312178532</v>
      </c>
      <c r="P52" s="11" t="n">
        <v>63.8864157779356</v>
      </c>
      <c r="Q52" s="11" t="n">
        <v>63.4236235102702</v>
      </c>
      <c r="R52" s="11" t="n">
        <v>59.9558712542823</v>
      </c>
      <c r="S52" s="11" t="n">
        <v>55.2688216322833</v>
      </c>
      <c r="T52" s="11" t="n">
        <v>52.9833963820738</v>
      </c>
      <c r="U52" s="11" t="n">
        <v>51.0954461139793</v>
      </c>
      <c r="V52" s="11" t="n">
        <v>47.3995206969938</v>
      </c>
      <c r="W52" s="11" t="n">
        <v>42.6149904906712</v>
      </c>
      <c r="X52" s="11" t="n">
        <v>38.5185777277248</v>
      </c>
      <c r="Y52" s="11" t="n">
        <v>33.2083199621817</v>
      </c>
      <c r="Z52" s="11" t="n">
        <v>30.8558884109676</v>
      </c>
      <c r="AA52" s="11" t="n">
        <v>29.1299107625631</v>
      </c>
      <c r="AB52" s="11" t="n">
        <v>25.716866743767</v>
      </c>
      <c r="AC52" s="11" t="n">
        <v>23.1953408858308</v>
      </c>
      <c r="AD52" s="11" t="n">
        <v>22.3648223414965</v>
      </c>
      <c r="AE52" s="11" t="n">
        <v>21.1547525779738</v>
      </c>
      <c r="AF52" s="11" t="n">
        <v>21.4242303804281</v>
      </c>
      <c r="AG52" s="11" t="n">
        <v>21.2945620332643</v>
      </c>
      <c r="AH52" s="11" t="n">
        <v>20.8253175246668</v>
      </c>
      <c r="AI52" s="11" t="n">
        <v>19.3011141759919</v>
      </c>
      <c r="AJ52" s="11" t="n">
        <v>18.1553437634056</v>
      </c>
      <c r="AK52" s="11" t="n">
        <v>18.0570091121117</v>
      </c>
      <c r="AL52" s="11" t="n">
        <v>17.8914413549416</v>
      </c>
      <c r="AM52" s="11" t="n">
        <v>17.0850291704747</v>
      </c>
      <c r="AN52" s="11" t="n">
        <v>16.7087434666579</v>
      </c>
      <c r="AO52" s="11" t="n">
        <v>16.2838710150735</v>
      </c>
      <c r="AP52" s="11" t="n">
        <v>16.5890651383816</v>
      </c>
      <c r="AQ52" s="11" t="n">
        <v>15.6118155960687</v>
      </c>
      <c r="AR52" s="11" t="n">
        <v>14.7518597278136</v>
      </c>
      <c r="AS52" s="11" t="n">
        <v>13.961434129156</v>
      </c>
      <c r="AT52" s="11" t="n">
        <v>13.2646876862591</v>
      </c>
      <c r="AU52" s="11" t="n">
        <v>12.6516465016031</v>
      </c>
      <c r="AV52" s="11" t="n">
        <v>12.1140842315233</v>
      </c>
      <c r="AW52" s="11" t="n">
        <v>11.6466433210186</v>
      </c>
      <c r="AX52" s="11" t="n">
        <v>11.2415414735956</v>
      </c>
      <c r="AY52" s="11" t="n">
        <v>10.8907584485973</v>
      </c>
      <c r="AZ52" s="11" t="n">
        <v>10.5865874968246</v>
      </c>
      <c r="BA52" s="11" t="n">
        <v>10.3249136396055</v>
      </c>
      <c r="BB52" s="11" t="n">
        <v>10.1020040487465</v>
      </c>
      <c r="BC52" s="11" t="n">
        <v>9.91471415800085</v>
      </c>
      <c r="BD52" s="11" t="n">
        <v>9.79662181413858</v>
      </c>
      <c r="BE52" s="11" t="n">
        <v>9.70809975879886</v>
      </c>
      <c r="BF52" s="11" t="n">
        <v>9.64669457071947</v>
      </c>
      <c r="BG52" s="11" t="n">
        <v>9.61017841441223</v>
      </c>
      <c r="BH52" s="11" t="n">
        <v>9.59728490216657</v>
      </c>
      <c r="BI52" s="11" t="n">
        <v>9.60471174816616</v>
      </c>
      <c r="BJ52" s="11" t="n">
        <v>9.6306070877834</v>
      </c>
      <c r="BK52" s="11" t="n">
        <v>9.67346437631095</v>
      </c>
      <c r="BL52" s="11" t="n">
        <v>9.73210212346832</v>
      </c>
      <c r="BM52" s="11" t="n">
        <v>9.80541975718671</v>
      </c>
      <c r="BN52" s="11" t="n">
        <v>84.5581501455294</v>
      </c>
      <c r="BO52" s="11" t="n">
        <v>70.2414436409005</v>
      </c>
      <c r="BP52" s="11" t="n">
        <v>56.4796149715593</v>
      </c>
      <c r="BQ52" s="11" t="n">
        <v>49.8463534192903</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0.914269940585073</v>
      </c>
      <c r="K53" s="11" t="n">
        <v>0.948977695066554</v>
      </c>
      <c r="L53" s="11" t="n">
        <v>0.960229133477018</v>
      </c>
      <c r="M53" s="11" t="n">
        <v>0.990264616022948</v>
      </c>
      <c r="N53" s="11" t="n">
        <v>0.9892457885681</v>
      </c>
      <c r="O53" s="11" t="n">
        <v>1.03182659578218</v>
      </c>
      <c r="P53" s="11" t="n">
        <v>1.01501682257822</v>
      </c>
      <c r="Q53" s="11" t="n">
        <v>1.03773758149955</v>
      </c>
      <c r="R53" s="11" t="n">
        <v>1.04726854425037</v>
      </c>
      <c r="S53" s="11" t="n">
        <v>1.05229317532329</v>
      </c>
      <c r="T53" s="11" t="n">
        <v>1.09134261724207</v>
      </c>
      <c r="U53" s="11" t="n">
        <v>1.11377060691125</v>
      </c>
      <c r="V53" s="11" t="n">
        <v>1.14055693363522</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1.51665579467754</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1.48301869718965</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42.3420111859096</v>
      </c>
      <c r="AO54" s="11" t="n">
        <v>41.8835898308251</v>
      </c>
      <c r="AP54" s="11" t="n">
        <v>41.7644286004424</v>
      </c>
      <c r="AQ54" s="11" t="n">
        <v>40.8785276008834</v>
      </c>
      <c r="AR54" s="11" t="n">
        <v>41.1874962907075</v>
      </c>
      <c r="AS54" s="11" t="n">
        <v>40.233602929576</v>
      </c>
      <c r="AT54" s="11" t="n">
        <v>40.2129548501473</v>
      </c>
      <c r="AU54" s="11" t="n">
        <v>39.9137832114572</v>
      </c>
      <c r="AV54" s="11" t="n">
        <v>39.2703024633116</v>
      </c>
      <c r="AW54" s="11" t="n">
        <v>38.8078835351211</v>
      </c>
      <c r="AX54" s="11" t="n">
        <v>38.6627924321681</v>
      </c>
      <c r="AY54" s="11" t="n">
        <v>38.116050378488</v>
      </c>
      <c r="AZ54" s="11" t="n">
        <v>37.4055319229608</v>
      </c>
      <c r="BA54" s="11" t="n">
        <v>37.2952462076073</v>
      </c>
      <c r="BB54" s="11" t="n">
        <v>37.3913346174006</v>
      </c>
      <c r="BC54" s="11" t="n">
        <v>37.1747607439561</v>
      </c>
      <c r="BD54" s="11" t="n">
        <v>37.7200263850886</v>
      </c>
      <c r="BE54" s="11" t="n">
        <v>38.321340822902</v>
      </c>
      <c r="BF54" s="11" t="n">
        <v>38.31138338164</v>
      </c>
      <c r="BG54" s="11" t="n">
        <v>38.0662079238445</v>
      </c>
      <c r="BH54" s="11" t="n">
        <v>37.6562702838499</v>
      </c>
      <c r="BI54" s="11" t="n">
        <v>37.21675174531</v>
      </c>
      <c r="BJ54" s="11" t="n">
        <v>36.5472583742599</v>
      </c>
      <c r="BK54" s="11" t="n">
        <v>36.816212258554</v>
      </c>
      <c r="BL54" s="11" t="n">
        <v>35.7148863863046</v>
      </c>
      <c r="BM54" s="11" t="n">
        <v>35.1995289583012</v>
      </c>
      <c r="BN54" s="11" t="n">
        <v>207.053329240301</v>
      </c>
      <c r="BO54" s="11" t="n">
        <v>202.426364882771</v>
      </c>
      <c r="BP54" s="11" t="n">
        <v>192.26256073205</v>
      </c>
      <c r="BQ54" s="11" t="n">
        <v>187.902708776955</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0.00475142288293126</v>
      </c>
      <c r="AO55" s="11" t="n">
        <v>0.004698886003617</v>
      </c>
      <c r="AP55" s="11" t="n">
        <v>0.00466698038442742</v>
      </c>
      <c r="AQ55" s="11" t="n">
        <v>0.00458135954138498</v>
      </c>
      <c r="AR55" s="11" t="n">
        <v>0.00458544422395163</v>
      </c>
      <c r="AS55" s="11" t="n">
        <v>0.00449639215675097</v>
      </c>
      <c r="AT55" s="11" t="n">
        <v>0.00447673222515847</v>
      </c>
      <c r="AU55" s="11" t="n">
        <v>0.00443901364381089</v>
      </c>
      <c r="AV55" s="11" t="n">
        <v>0.0043739421278286</v>
      </c>
      <c r="AW55" s="11" t="n">
        <v>0.00432193109154816</v>
      </c>
      <c r="AX55" s="11" t="n">
        <v>0.00429841451205016</v>
      </c>
      <c r="AY55" s="11" t="n">
        <v>0.00425075967093959</v>
      </c>
      <c r="AZ55" s="11" t="n">
        <v>0.00419144786194987</v>
      </c>
      <c r="BA55" s="11" t="n">
        <v>0.00416950359371279</v>
      </c>
      <c r="BB55" s="11" t="n">
        <v>0.00416607935770483</v>
      </c>
      <c r="BC55" s="11" t="n">
        <v>0.00413569015900142</v>
      </c>
      <c r="BD55" s="11" t="n">
        <v>0.00415840282702822</v>
      </c>
      <c r="BE55" s="11" t="n">
        <v>0.00418339211525845</v>
      </c>
      <c r="BF55" s="11" t="n">
        <v>0.00411384715788346</v>
      </c>
      <c r="BG55" s="11" t="n">
        <v>0.00402287502363162</v>
      </c>
      <c r="BH55" s="11" t="n">
        <v>0.00392017927748882</v>
      </c>
      <c r="BI55" s="11" t="n">
        <v>0.00381643655871468</v>
      </c>
      <c r="BJ55" s="11" t="n">
        <v>0.00369572511713514</v>
      </c>
      <c r="BK55" s="11" t="n">
        <v>0.00364421692349162</v>
      </c>
      <c r="BL55" s="11" t="n">
        <v>0.00349686505413399</v>
      </c>
      <c r="BM55" s="11" t="n">
        <v>0.00339591777098164</v>
      </c>
      <c r="BN55" s="11" t="n">
        <v>0.0234823254400692</v>
      </c>
      <c r="BO55" s="11" t="n">
        <v>0.0225789417910569</v>
      </c>
      <c r="BP55" s="11" t="n">
        <v>0.0214364952643164</v>
      </c>
      <c r="BQ55" s="11" t="n">
        <v>0.0208130680527057</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0.38119411208548</v>
      </c>
      <c r="AO56" s="11" t="n">
        <v>0.377052889724662</v>
      </c>
      <c r="AP56" s="11" t="n">
        <v>0.37574019571837</v>
      </c>
      <c r="AQ56" s="11" t="n">
        <v>0.367943178143495</v>
      </c>
      <c r="AR56" s="11" t="n">
        <v>0.370328810800528</v>
      </c>
      <c r="AS56" s="11" t="n">
        <v>0.361974024944651</v>
      </c>
      <c r="AT56" s="11" t="n">
        <v>0.36156363640912</v>
      </c>
      <c r="AU56" s="11" t="n">
        <v>0.358816590980137</v>
      </c>
      <c r="AV56" s="11" t="n">
        <v>0.353115886350031</v>
      </c>
      <c r="AW56" s="11" t="n">
        <v>0.348951288642682</v>
      </c>
      <c r="AX56" s="11" t="n">
        <v>0.347551414307031</v>
      </c>
      <c r="AY56" s="11" t="n">
        <v>0.342806554807986</v>
      </c>
      <c r="AZ56" s="11" t="n">
        <v>0.336674263838173</v>
      </c>
      <c r="BA56" s="11" t="n">
        <v>0.33555752827839</v>
      </c>
      <c r="BB56" s="11" t="n">
        <v>0.336238683603085</v>
      </c>
      <c r="BC56" s="11" t="n">
        <v>0.334210139956691</v>
      </c>
      <c r="BD56" s="11" t="n">
        <v>0.338620982514842</v>
      </c>
      <c r="BE56" s="11" t="n">
        <v>0.343484471699415</v>
      </c>
      <c r="BF56" s="11" t="n">
        <v>0.342509050571546</v>
      </c>
      <c r="BG56" s="11" t="n">
        <v>0.339480330862877</v>
      </c>
      <c r="BH56" s="11" t="n">
        <v>0.335055874212605</v>
      </c>
      <c r="BI56" s="11" t="n">
        <v>0.33039452479067</v>
      </c>
      <c r="BJ56" s="11" t="n">
        <v>0.323777177078213</v>
      </c>
      <c r="BK56" s="11" t="n">
        <v>0.325141057225665</v>
      </c>
      <c r="BL56" s="11" t="n">
        <v>0.314918459476323</v>
      </c>
      <c r="BM56" s="11" t="n">
        <v>0.309720701832161</v>
      </c>
      <c r="BN56" s="11" t="n">
        <v>1.86725454161884</v>
      </c>
      <c r="BO56" s="11" t="n">
        <v>1.82062624127793</v>
      </c>
      <c r="BP56" s="11" t="n">
        <v>1.7290994079459</v>
      </c>
      <c r="BQ56" s="11" t="n">
        <v>1.68811180605242</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165</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363.16220328069</v>
      </c>
      <c r="AO4" s="11" t="n">
        <v>355.320294249585</v>
      </c>
      <c r="AP4" s="11" t="n">
        <v>349.464314107462</v>
      </c>
      <c r="AQ4" s="11" t="n">
        <v>342.196922748121</v>
      </c>
      <c r="AR4" s="11" t="n">
        <v>336.926488506423</v>
      </c>
      <c r="AS4" s="11" t="n">
        <v>330.628410013566</v>
      </c>
      <c r="AT4" s="11" t="n">
        <v>323.681440757981</v>
      </c>
      <c r="AU4" s="11" t="n">
        <v>318.088124593316</v>
      </c>
      <c r="AV4" s="11" t="n">
        <v>313.072751971325</v>
      </c>
      <c r="AW4" s="11" t="n">
        <v>309.233952618359</v>
      </c>
      <c r="AX4" s="11" t="n">
        <v>307.666427894966</v>
      </c>
      <c r="AY4" s="11" t="n">
        <v>304.624583512344</v>
      </c>
      <c r="AZ4" s="11" t="n">
        <v>302.792084914866</v>
      </c>
      <c r="BA4" s="11" t="n">
        <v>300.301897540691</v>
      </c>
      <c r="BB4" s="11" t="n">
        <v>297.922451562799</v>
      </c>
      <c r="BC4" s="11" t="n">
        <v>296.662461584084</v>
      </c>
      <c r="BD4" s="11" t="n">
        <v>296.085739714388</v>
      </c>
      <c r="BE4" s="11" t="n">
        <v>295.830846753303</v>
      </c>
      <c r="BF4" s="11" t="n">
        <v>295.857193105269</v>
      </c>
      <c r="BG4" s="11" t="n">
        <v>296.376530166339</v>
      </c>
      <c r="BH4" s="11" t="n">
        <v>296.120290547034</v>
      </c>
      <c r="BI4" s="11" t="n">
        <v>296.726797576236</v>
      </c>
      <c r="BJ4" s="11" t="n">
        <v>297.429693084272</v>
      </c>
      <c r="BK4" s="11" t="n">
        <v>298.383145782916</v>
      </c>
      <c r="BL4" s="11" t="n">
        <v>296.438619106604</v>
      </c>
      <c r="BM4" s="11" t="n">
        <v>294.163508881453</v>
      </c>
      <c r="BN4" s="11" t="n">
        <v>1824.67885510311</v>
      </c>
      <c r="BO4" s="11" t="n">
        <v>1651.52138661941</v>
      </c>
      <c r="BP4" s="11" t="n">
        <v>1537.38980091186</v>
      </c>
      <c r="BQ4" s="11" t="n">
        <v>1486.80339715527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405.833115617997</v>
      </c>
      <c r="AO5" s="11" t="n">
        <v>397.471860377141</v>
      </c>
      <c r="AP5" s="11" t="n">
        <v>391.436698928739</v>
      </c>
      <c r="AQ5" s="11" t="n">
        <v>383.2204427644</v>
      </c>
      <c r="AR5" s="11" t="n">
        <v>378.197780241267</v>
      </c>
      <c r="AS5" s="11" t="n">
        <v>370.883460994266</v>
      </c>
      <c r="AT5" s="11" t="n">
        <v>363.855877886724</v>
      </c>
      <c r="AU5" s="11" t="n">
        <v>357.903003975218</v>
      </c>
      <c r="AV5" s="11" t="n">
        <v>352.185906454951</v>
      </c>
      <c r="AW5" s="11" t="n">
        <v>347.826029535005</v>
      </c>
      <c r="AX5" s="11" t="n">
        <v>346.050761033189</v>
      </c>
      <c r="AY5" s="11" t="n">
        <v>342.402724937</v>
      </c>
      <c r="AZ5" s="11" t="n">
        <v>339.802990397672</v>
      </c>
      <c r="BA5" s="11" t="n">
        <v>337.136528755842</v>
      </c>
      <c r="BB5" s="11" t="n">
        <v>334.782206792098</v>
      </c>
      <c r="BC5" s="11" t="n">
        <v>333.238175330279</v>
      </c>
      <c r="BD5" s="11" t="n">
        <v>333.13809218813</v>
      </c>
      <c r="BE5" s="11" t="n">
        <v>333.412809126739</v>
      </c>
      <c r="BF5" s="11" t="n">
        <v>333.364632674849</v>
      </c>
      <c r="BG5" s="11" t="n">
        <v>333.579712962372</v>
      </c>
      <c r="BH5" s="11" t="n">
        <v>332.859612083374</v>
      </c>
      <c r="BI5" s="11" t="n">
        <v>332.974838172487</v>
      </c>
      <c r="BJ5" s="11" t="n">
        <v>332.965005408951</v>
      </c>
      <c r="BK5" s="11" t="n">
        <v>334.114198766712</v>
      </c>
      <c r="BL5" s="11" t="n">
        <v>331.043275892345</v>
      </c>
      <c r="BM5" s="11" t="n">
        <v>328.209948860721</v>
      </c>
      <c r="BN5" s="11" t="n">
        <v>2033.27965039263</v>
      </c>
      <c r="BO5" s="11" t="n">
        <v>1854.06056586187</v>
      </c>
      <c r="BP5" s="11" t="n">
        <v>1728.26841235782</v>
      </c>
      <c r="BQ5" s="11" t="n">
        <v>1671.70781219309</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363.16220328069</v>
      </c>
      <c r="AO6" s="11" t="n">
        <v>355.320294249585</v>
      </c>
      <c r="AP6" s="11" t="n">
        <v>349.464314107462</v>
      </c>
      <c r="AQ6" s="11" t="n">
        <v>342.196922748121</v>
      </c>
      <c r="AR6" s="11" t="n">
        <v>336.926488506423</v>
      </c>
      <c r="AS6" s="11" t="n">
        <v>330.628410013566</v>
      </c>
      <c r="AT6" s="11" t="n">
        <v>323.681440757981</v>
      </c>
      <c r="AU6" s="11" t="n">
        <v>318.088124593316</v>
      </c>
      <c r="AV6" s="11" t="n">
        <v>352.185906454951</v>
      </c>
      <c r="AW6" s="11" t="n">
        <v>347.826029535005</v>
      </c>
      <c r="AX6" s="11" t="n">
        <v>346.050761033189</v>
      </c>
      <c r="AY6" s="11" t="n">
        <v>342.402724937</v>
      </c>
      <c r="AZ6" s="11" t="n">
        <v>339.802990397672</v>
      </c>
      <c r="BA6" s="11"/>
      <c r="BB6" s="11"/>
      <c r="BC6" s="11"/>
      <c r="BD6" s="11"/>
      <c r="BE6" s="11"/>
      <c r="BF6" s="11"/>
      <c r="BG6" s="11"/>
      <c r="BH6" s="11"/>
      <c r="BI6" s="11"/>
      <c r="BJ6" s="11"/>
      <c r="BK6" s="11"/>
      <c r="BL6" s="11"/>
      <c r="BM6" s="11"/>
      <c r="BN6" s="11" t="n">
        <v>1824.67885510311</v>
      </c>
      <c r="BO6" s="11" t="n">
        <v>1651.52138661941</v>
      </c>
      <c r="BP6" s="11" t="n">
        <v>1728.26841235782</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363.16220328069</v>
      </c>
      <c r="AO7" s="11" t="n">
        <v>355.320294249585</v>
      </c>
      <c r="AP7" s="11" t="n">
        <v>349.464314107462</v>
      </c>
      <c r="AQ7" s="11" t="n">
        <v>342.196922748121</v>
      </c>
      <c r="AR7" s="11" t="n">
        <v>336.926488506423</v>
      </c>
      <c r="AS7" s="11" t="n">
        <v>330.628410013566</v>
      </c>
      <c r="AT7" s="11" t="n">
        <v>323.681440757981</v>
      </c>
      <c r="AU7" s="11" t="n">
        <v>318.088124593316</v>
      </c>
      <c r="AV7" s="11"/>
      <c r="AW7" s="11"/>
      <c r="AX7" s="11"/>
      <c r="AY7" s="11"/>
      <c r="AZ7" s="11"/>
      <c r="BA7" s="11"/>
      <c r="BB7" s="11"/>
      <c r="BC7" s="11"/>
      <c r="BD7" s="11"/>
      <c r="BE7" s="11"/>
      <c r="BF7" s="11"/>
      <c r="BG7" s="11"/>
      <c r="BH7" s="11"/>
      <c r="BI7" s="11"/>
      <c r="BJ7" s="11"/>
      <c r="BK7" s="11"/>
      <c r="BL7" s="11"/>
      <c r="BM7" s="11"/>
      <c r="BN7" s="11" t="n">
        <v>1824.67885510311</v>
      </c>
      <c r="BO7" s="11" t="n">
        <v>1651.52138661941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352.185906454951</v>
      </c>
      <c r="AW8" s="11" t="n">
        <v>347.826029535005</v>
      </c>
      <c r="AX8" s="11" t="n">
        <v>346.050761033189</v>
      </c>
      <c r="AY8" s="11" t="n">
        <v>342.402724937</v>
      </c>
      <c r="AZ8" s="11" t="n">
        <v>339.802990397672</v>
      </c>
      <c r="BA8" s="11"/>
      <c r="BB8" s="11"/>
      <c r="BC8" s="11"/>
      <c r="BD8" s="11"/>
      <c r="BE8" s="11"/>
      <c r="BF8" s="11"/>
      <c r="BG8" s="11"/>
      <c r="BH8" s="11"/>
      <c r="BI8" s="11"/>
      <c r="BJ8" s="11"/>
      <c r="BK8" s="11"/>
      <c r="BL8" s="11"/>
      <c r="BM8" s="11"/>
      <c r="BN8" s="11"/>
      <c r="BO8" s="11"/>
      <c r="BP8" s="11" t="n">
        <v>1728.26841235782</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53.6728877296629</v>
      </c>
      <c r="K9" s="11" t="n">
        <v>55.0409098307287</v>
      </c>
      <c r="L9" s="11" t="n">
        <v>54.6237497116691</v>
      </c>
      <c r="M9" s="11" t="n">
        <v>54.2939813468889</v>
      </c>
      <c r="N9" s="11" t="n">
        <v>54.540916712647</v>
      </c>
      <c r="O9" s="11" t="n">
        <v>52.5801767156202</v>
      </c>
      <c r="P9" s="11" t="n">
        <v>50.3804222760028</v>
      </c>
      <c r="Q9" s="11" t="n">
        <v>50.0717765484391</v>
      </c>
      <c r="R9" s="11" t="n">
        <v>50.5149288135195</v>
      </c>
      <c r="S9" s="11" t="n">
        <v>51.297357671118</v>
      </c>
      <c r="T9" s="11" t="n">
        <v>51.4385984999855</v>
      </c>
      <c r="U9" s="11" t="n">
        <v>50.3863717343563</v>
      </c>
      <c r="V9" s="11" t="n">
        <v>49.9875870606817</v>
      </c>
      <c r="W9" s="11" t="n">
        <v>49.6981093209486</v>
      </c>
      <c r="X9" s="11" t="n">
        <v>49.2150761195018</v>
      </c>
      <c r="Y9" s="11" t="n">
        <v>49.6272287339461</v>
      </c>
      <c r="Z9" s="11" t="n">
        <v>48.8195310118093</v>
      </c>
      <c r="AA9" s="11" t="n">
        <v>49.2577794183426</v>
      </c>
      <c r="AB9" s="11" t="n">
        <v>49.0850161759067</v>
      </c>
      <c r="AC9" s="11" t="n">
        <v>49.4343920328083</v>
      </c>
      <c r="AD9" s="11" t="n">
        <v>50.6170357854804</v>
      </c>
      <c r="AE9" s="11" t="n">
        <v>50.0256613841094</v>
      </c>
      <c r="AF9" s="11" t="n">
        <v>49.9449226392524</v>
      </c>
      <c r="AG9" s="11" t="n">
        <v>48.0992006922732</v>
      </c>
      <c r="AH9" s="11" t="n">
        <v>48.643733304938</v>
      </c>
      <c r="AI9" s="11" t="n">
        <v>47.4216999744916</v>
      </c>
      <c r="AJ9" s="11" t="n">
        <v>48.1166146754413</v>
      </c>
      <c r="AK9" s="11" t="n">
        <v>46.8561837228894</v>
      </c>
      <c r="AL9" s="11" t="n">
        <v>46.6137424553026</v>
      </c>
      <c r="AM9" s="11" t="n">
        <v>45.5769870262767</v>
      </c>
      <c r="AN9" s="11" t="n">
        <v>45.1565653679124</v>
      </c>
      <c r="AO9" s="11" t="n">
        <v>44.9806085663478</v>
      </c>
      <c r="AP9" s="11" t="n">
        <v>44.8937218741866</v>
      </c>
      <c r="AQ9" s="11" t="n">
        <v>44.8328513786151</v>
      </c>
      <c r="AR9" s="11" t="n">
        <v>44.7571506999058</v>
      </c>
      <c r="AS9" s="11" t="n">
        <v>44.64594711842</v>
      </c>
      <c r="AT9" s="11" t="n">
        <v>44.4750103600964</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109.912425997582</v>
      </c>
      <c r="F10" s="11" t="n">
        <v>121.6546620763</v>
      </c>
      <c r="G10" s="11" t="n">
        <v>118.228615997844</v>
      </c>
      <c r="H10" s="11" t="n">
        <v>121.902914682817</v>
      </c>
      <c r="I10" s="11" t="n">
        <v>116.747208851677</v>
      </c>
      <c r="J10" s="11" t="n">
        <v>112.389054740497</v>
      </c>
      <c r="K10" s="11" t="n">
        <v>125.489246366001</v>
      </c>
      <c r="L10" s="11" t="n">
        <v>116.074072770632</v>
      </c>
      <c r="M10" s="11" t="n">
        <v>117.272619408679</v>
      </c>
      <c r="N10" s="11" t="n">
        <v>118.430664130624</v>
      </c>
      <c r="O10" s="11" t="n">
        <v>117.834073465336</v>
      </c>
      <c r="P10" s="11" t="n">
        <v>120.70140906972</v>
      </c>
      <c r="Q10" s="11" t="n">
        <v>112.563093057325</v>
      </c>
      <c r="R10" s="11" t="n">
        <v>113.465625482665</v>
      </c>
      <c r="S10" s="11" t="n">
        <v>115.744826162103</v>
      </c>
      <c r="T10" s="11" t="n">
        <v>111.552141682332</v>
      </c>
      <c r="U10" s="11" t="n">
        <v>106.529404171573</v>
      </c>
      <c r="V10" s="11" t="n">
        <v>101.428360457242</v>
      </c>
      <c r="W10" s="11" t="n">
        <v>106.135800915805</v>
      </c>
      <c r="X10" s="11" t="n">
        <v>99.414058108465</v>
      </c>
      <c r="Y10" s="11" t="n">
        <v>110.021970657915</v>
      </c>
      <c r="Z10" s="11" t="n">
        <v>89.5911566738275</v>
      </c>
      <c r="AA10" s="11" t="n">
        <v>98.8689742080977</v>
      </c>
      <c r="AB10" s="11" t="n">
        <v>100.090767775571</v>
      </c>
      <c r="AC10" s="11" t="n">
        <v>85.1022261427368</v>
      </c>
      <c r="AD10" s="11" t="n">
        <v>87.4821251386945</v>
      </c>
      <c r="AE10" s="11" t="n">
        <v>88.4663784143105</v>
      </c>
      <c r="AF10" s="11" t="n">
        <v>86.4048045803195</v>
      </c>
      <c r="AG10" s="11" t="n">
        <v>90.9228353446947</v>
      </c>
      <c r="AH10" s="11" t="n">
        <v>87.6506423572418</v>
      </c>
      <c r="AI10" s="11" t="n">
        <v>87.9661491234385</v>
      </c>
      <c r="AJ10" s="11" t="n">
        <v>92.9532506574566</v>
      </c>
      <c r="AK10" s="11" t="n">
        <v>78.6740673305288</v>
      </c>
      <c r="AL10" s="11" t="n">
        <v>74.0601097199175</v>
      </c>
      <c r="AM10" s="11" t="n">
        <v>76.8964500445979</v>
      </c>
      <c r="AN10" s="11" t="n">
        <v>79.9281388704289</v>
      </c>
      <c r="AO10" s="11" t="n">
        <v>79.6971741383559</v>
      </c>
      <c r="AP10" s="11" t="n">
        <v>79.5014839591789</v>
      </c>
      <c r="AQ10" s="11" t="n">
        <v>79.1762863110142</v>
      </c>
      <c r="AR10" s="11" t="n">
        <v>79.1941630864584</v>
      </c>
      <c r="AS10" s="11" t="n">
        <v>78.9767906687048</v>
      </c>
      <c r="AT10" s="11" t="n">
        <v>78.9148289661101</v>
      </c>
      <c r="AU10" s="11" t="n">
        <v>78.8530538495771</v>
      </c>
      <c r="AV10" s="11" t="n">
        <v>78.840920275518</v>
      </c>
      <c r="AW10" s="11" t="n">
        <v>78.8489725438062</v>
      </c>
      <c r="AX10" s="11" t="n">
        <v>78.9010920121412</v>
      </c>
      <c r="AY10" s="11" t="n">
        <v>79.3303551668983</v>
      </c>
      <c r="AZ10" s="11" t="n">
        <v>79.4342282431801</v>
      </c>
      <c r="BA10" s="11" t="n">
        <v>79.6478190162414</v>
      </c>
      <c r="BB10" s="11" t="n">
        <v>79.8721753015396</v>
      </c>
      <c r="BC10" s="11" t="n">
        <v>80.1383907934941</v>
      </c>
      <c r="BD10" s="11" t="n">
        <v>80.4885034526393</v>
      </c>
      <c r="BE10" s="11" t="n">
        <v>80.681974201658</v>
      </c>
      <c r="BF10" s="11" t="n">
        <v>80.8088552921827</v>
      </c>
      <c r="BG10" s="11" t="n">
        <v>81.1320239809938</v>
      </c>
      <c r="BH10" s="11" t="n">
        <v>81.1167096625953</v>
      </c>
      <c r="BI10" s="11" t="n">
        <v>81.2014967210313</v>
      </c>
      <c r="BJ10" s="11" t="n">
        <v>81.4288116161988</v>
      </c>
      <c r="BK10" s="11" t="n">
        <v>81.4720380346076</v>
      </c>
      <c r="BL10" s="11" t="n">
        <v>81.433648121201</v>
      </c>
      <c r="BM10" s="11" t="n">
        <v>81.3895065506323</v>
      </c>
      <c r="BN10" s="11" t="n">
        <v>390.083356732479</v>
      </c>
      <c r="BO10" s="11" t="n">
        <v>395.115122881865</v>
      </c>
      <c r="BP10" s="11" t="n">
        <v>395.355568241544</v>
      </c>
      <c r="BQ10" s="11" t="n">
        <v>400.828862765572</v>
      </c>
    </row>
    <row r="11" customFormat="false" ht="13.8" hidden="false" customHeight="false" outlineLevel="0" collapsed="false">
      <c r="A11" s="11" t="s">
        <v>137</v>
      </c>
      <c r="B11" s="11" t="s">
        <v>146</v>
      </c>
      <c r="C11" s="11" t="s">
        <v>139</v>
      </c>
      <c r="D11" s="12"/>
      <c r="E11" s="11" t="n">
        <v>129.255008921329</v>
      </c>
      <c r="F11" s="11" t="n">
        <v>127.341350929008</v>
      </c>
      <c r="G11" s="11" t="n">
        <v>128.602142536824</v>
      </c>
      <c r="H11" s="11" t="n">
        <v>129.960861603214</v>
      </c>
      <c r="I11" s="11" t="n">
        <v>131.269048973459</v>
      </c>
      <c r="J11" s="11" t="n">
        <v>130.718567010679</v>
      </c>
      <c r="K11" s="11" t="n">
        <v>135.024084565215</v>
      </c>
      <c r="L11" s="11" t="n">
        <v>135.424155304523</v>
      </c>
      <c r="M11" s="11" t="n">
        <v>134.358149462021</v>
      </c>
      <c r="N11" s="11" t="n">
        <v>135.8937730712</v>
      </c>
      <c r="O11" s="11" t="n">
        <v>133.852166704661</v>
      </c>
      <c r="P11" s="11" t="n">
        <v>133.742075074998</v>
      </c>
      <c r="Q11" s="11" t="n">
        <v>136.666087525806</v>
      </c>
      <c r="R11" s="11" t="n">
        <v>135.74474166268</v>
      </c>
      <c r="S11" s="11" t="n">
        <v>136.832324570642</v>
      </c>
      <c r="T11" s="11" t="n">
        <v>137.18045692041</v>
      </c>
      <c r="U11" s="11" t="n">
        <v>137.169043810698</v>
      </c>
      <c r="V11" s="11" t="n">
        <v>138.167427388472</v>
      </c>
      <c r="W11" s="11" t="n">
        <v>132.911398709115</v>
      </c>
      <c r="X11" s="11" t="n">
        <v>128.229958039245</v>
      </c>
      <c r="Y11" s="11" t="n">
        <v>126.528980221669</v>
      </c>
      <c r="Z11" s="11" t="n">
        <v>123.85511704496</v>
      </c>
      <c r="AA11" s="11" t="n">
        <v>123.08209271132</v>
      </c>
      <c r="AB11" s="11" t="n">
        <v>121.240564239504</v>
      </c>
      <c r="AC11" s="11" t="n">
        <v>123.020717090657</v>
      </c>
      <c r="AD11" s="11" t="n">
        <v>123.453564199384</v>
      </c>
      <c r="AE11" s="11" t="n">
        <v>126.903334058577</v>
      </c>
      <c r="AF11" s="11" t="n">
        <v>127.593932001703</v>
      </c>
      <c r="AG11" s="11" t="n">
        <v>126.258266884395</v>
      </c>
      <c r="AH11" s="11" t="n">
        <v>122.916542120302</v>
      </c>
      <c r="AI11" s="11" t="n">
        <v>101.761614567726</v>
      </c>
      <c r="AJ11" s="11" t="n">
        <v>110.282508275534</v>
      </c>
      <c r="AK11" s="11" t="n">
        <v>111.525215432617</v>
      </c>
      <c r="AL11" s="11" t="n">
        <v>110.269321896283</v>
      </c>
      <c r="AM11" s="11" t="n">
        <v>110.998305372056</v>
      </c>
      <c r="AN11" s="11" t="n">
        <v>115.129649586963</v>
      </c>
      <c r="AO11" s="11" t="n">
        <v>112.365828619916</v>
      </c>
      <c r="AP11" s="11" t="n">
        <v>109.397689798849</v>
      </c>
      <c r="AQ11" s="11" t="n">
        <v>105.09816937557</v>
      </c>
      <c r="AR11" s="11" t="n">
        <v>99.9532329952901</v>
      </c>
      <c r="AS11" s="11" t="n">
        <v>93.7920246040757</v>
      </c>
      <c r="AT11" s="11" t="n">
        <v>88.1381937724063</v>
      </c>
      <c r="AU11" s="11" t="n">
        <v>82.9050381763651</v>
      </c>
      <c r="AV11" s="11" t="n">
        <v>78.3837749987664</v>
      </c>
      <c r="AW11" s="11" t="n">
        <v>74.350749485819</v>
      </c>
      <c r="AX11" s="11" t="n">
        <v>70.8330365310908</v>
      </c>
      <c r="AY11" s="11" t="n">
        <v>67.6530874602747</v>
      </c>
      <c r="AZ11" s="11" t="n">
        <v>64.8007178854832</v>
      </c>
      <c r="BA11" s="11" t="n">
        <v>62.2772914072362</v>
      </c>
      <c r="BB11" s="11" t="n">
        <v>60.1054139653103</v>
      </c>
      <c r="BC11" s="11" t="n">
        <v>58.1193171554881</v>
      </c>
      <c r="BD11" s="11" t="n">
        <v>56.4631979411074</v>
      </c>
      <c r="BE11" s="11" t="n">
        <v>55.0041678591408</v>
      </c>
      <c r="BF11" s="11" t="n">
        <v>53.8563880216852</v>
      </c>
      <c r="BG11" s="11" t="n">
        <v>52.8503588577551</v>
      </c>
      <c r="BH11" s="11" t="n">
        <v>51.9970206461892</v>
      </c>
      <c r="BI11" s="11" t="n">
        <v>51.33891410471</v>
      </c>
      <c r="BJ11" s="11" t="n">
        <v>50.7696668729298</v>
      </c>
      <c r="BK11" s="11" t="n">
        <v>50.4357588260581</v>
      </c>
      <c r="BL11" s="11" t="n">
        <v>50.102252586945</v>
      </c>
      <c r="BM11" s="11" t="n">
        <v>49.8380908286266</v>
      </c>
      <c r="BN11" s="11" t="n">
        <v>558.160795274066</v>
      </c>
      <c r="BO11" s="11" t="n">
        <v>469.886658923707</v>
      </c>
      <c r="BP11" s="11" t="n">
        <v>356.021366361434</v>
      </c>
      <c r="BQ11" s="11" t="n">
        <v>291.969388328283</v>
      </c>
    </row>
    <row r="12" customFormat="false" ht="13.8" hidden="false" customHeight="false" outlineLevel="0" collapsed="false">
      <c r="A12" s="11" t="s">
        <v>137</v>
      </c>
      <c r="B12" s="11" t="s">
        <v>147</v>
      </c>
      <c r="C12" s="11" t="s">
        <v>139</v>
      </c>
      <c r="D12" s="12"/>
      <c r="E12" s="11" t="n">
        <v>14.7877929691883</v>
      </c>
      <c r="F12" s="11" t="n">
        <v>15.1074685752625</v>
      </c>
      <c r="G12" s="11" t="n">
        <v>15.048263855421</v>
      </c>
      <c r="H12" s="11" t="n">
        <v>15.4393606194209</v>
      </c>
      <c r="I12" s="11" t="n">
        <v>16.2460055865244</v>
      </c>
      <c r="J12" s="11" t="n">
        <v>17.3106292243495</v>
      </c>
      <c r="K12" s="11" t="n">
        <v>18.0794444117165</v>
      </c>
      <c r="L12" s="11" t="n">
        <v>19.7762861133537</v>
      </c>
      <c r="M12" s="11" t="n">
        <v>16.7045015612936</v>
      </c>
      <c r="N12" s="11" t="n">
        <v>9.90829358971171</v>
      </c>
      <c r="O12" s="11" t="n">
        <v>8.74166413230263</v>
      </c>
      <c r="P12" s="11" t="n">
        <v>8.96060646846772</v>
      </c>
      <c r="Q12" s="11" t="n">
        <v>9.34796390566102</v>
      </c>
      <c r="R12" s="11" t="n">
        <v>9.91148119417866</v>
      </c>
      <c r="S12" s="11" t="n">
        <v>8.89494250946247</v>
      </c>
      <c r="T12" s="11" t="n">
        <v>9.52097127843279</v>
      </c>
      <c r="U12" s="11" t="n">
        <v>10.1326783252579</v>
      </c>
      <c r="V12" s="11" t="n">
        <v>10.3515691825334</v>
      </c>
      <c r="W12" s="11" t="n">
        <v>10.5068013264239</v>
      </c>
      <c r="X12" s="11" t="n">
        <v>10.7709273376175</v>
      </c>
      <c r="Y12" s="11" t="n">
        <v>11.4568076187147</v>
      </c>
      <c r="Z12" s="11" t="n">
        <v>12.0312375568864</v>
      </c>
      <c r="AA12" s="11" t="n">
        <v>12.3016104934573</v>
      </c>
      <c r="AB12" s="11" t="n">
        <v>12.3843913296527</v>
      </c>
      <c r="AC12" s="11" t="n">
        <v>11.8177188604313</v>
      </c>
      <c r="AD12" s="11" t="n">
        <v>11.6506929422408</v>
      </c>
      <c r="AE12" s="11" t="n">
        <v>11.3552164893636</v>
      </c>
      <c r="AF12" s="11" t="n">
        <v>10.9810796894825</v>
      </c>
      <c r="AG12" s="11" t="n">
        <v>10.3776124762489</v>
      </c>
      <c r="AH12" s="11" t="n">
        <v>9.68541080398268</v>
      </c>
      <c r="AI12" s="11" t="n">
        <v>8.74353063685974</v>
      </c>
      <c r="AJ12" s="11" t="n">
        <v>8.16632698358806</v>
      </c>
      <c r="AK12" s="11" t="n">
        <v>7.55416736500505</v>
      </c>
      <c r="AL12" s="11" t="n">
        <v>7.04466698153908</v>
      </c>
      <c r="AM12" s="11" t="n">
        <v>6.61216432469942</v>
      </c>
      <c r="AN12" s="11" t="n">
        <v>6.26198481466507</v>
      </c>
      <c r="AO12" s="11" t="n">
        <v>5.9345486980428</v>
      </c>
      <c r="AP12" s="11" t="n">
        <v>5.62528837859823</v>
      </c>
      <c r="AQ12" s="11" t="n">
        <v>5.326849896076</v>
      </c>
      <c r="AR12" s="11" t="n">
        <v>5.05583262880686</v>
      </c>
      <c r="AS12" s="11" t="n">
        <v>4.82194424780007</v>
      </c>
      <c r="AT12" s="11" t="n">
        <v>4.61366583925396</v>
      </c>
      <c r="AU12" s="11" t="n">
        <v>4.41350101904454</v>
      </c>
      <c r="AV12" s="11" t="n">
        <v>4.23790151027039</v>
      </c>
      <c r="AW12" s="11" t="n">
        <v>4.07510202245846</v>
      </c>
      <c r="AX12" s="11" t="n">
        <v>3.92752251100253</v>
      </c>
      <c r="AY12" s="11" t="n">
        <v>3.79332865207698</v>
      </c>
      <c r="AZ12" s="11" t="n">
        <v>3.68721875777365</v>
      </c>
      <c r="BA12" s="11" t="n">
        <v>3.60898213485853</v>
      </c>
      <c r="BB12" s="11" t="n">
        <v>3.57479384362746</v>
      </c>
      <c r="BC12" s="11" t="n">
        <v>3.56291385672629</v>
      </c>
      <c r="BD12" s="11" t="n">
        <v>3.56542120647121</v>
      </c>
      <c r="BE12" s="11" t="n">
        <v>3.58036938460624</v>
      </c>
      <c r="BF12" s="11" t="n">
        <v>3.6048385694218</v>
      </c>
      <c r="BG12" s="11" t="n">
        <v>3.63707830122404</v>
      </c>
      <c r="BH12" s="11" t="n">
        <v>3.67524677841863</v>
      </c>
      <c r="BI12" s="11" t="n">
        <v>3.71543295724755</v>
      </c>
      <c r="BJ12" s="11" t="n">
        <v>3.75544068455744</v>
      </c>
      <c r="BK12" s="11" t="n">
        <v>3.79342922469287</v>
      </c>
      <c r="BL12" s="11" t="n">
        <v>3.82917856323999</v>
      </c>
      <c r="BM12" s="11" t="n">
        <v>3.86482736418788</v>
      </c>
      <c r="BN12" s="11" t="n">
        <v>31.4786531975446</v>
      </c>
      <c r="BO12" s="11" t="n">
        <v>24.2317936309814</v>
      </c>
      <c r="BP12" s="11" t="n">
        <v>19.721073453582</v>
      </c>
      <c r="BQ12" s="11" t="n">
        <v>17.8924804262897</v>
      </c>
    </row>
    <row r="13" customFormat="false" ht="13.8" hidden="false" customHeight="false" outlineLevel="0" collapsed="false">
      <c r="A13" s="11" t="s">
        <v>137</v>
      </c>
      <c r="B13" s="11" t="s">
        <v>148</v>
      </c>
      <c r="C13" s="11" t="s">
        <v>139</v>
      </c>
      <c r="D13" s="12"/>
      <c r="E13" s="11" t="n">
        <v>59.3229676155822</v>
      </c>
      <c r="F13" s="11" t="n">
        <v>59.4345084094057</v>
      </c>
      <c r="G13" s="11" t="n">
        <v>60.1841046564572</v>
      </c>
      <c r="H13" s="11" t="n">
        <v>58.9674567061176</v>
      </c>
      <c r="I13" s="11" t="n">
        <v>51.9755160115748</v>
      </c>
      <c r="J13" s="11" t="n">
        <v>54.6368157177593</v>
      </c>
      <c r="K13" s="11" t="n">
        <v>53.9628451509152</v>
      </c>
      <c r="L13" s="11" t="n">
        <v>52.19875606945</v>
      </c>
      <c r="M13" s="11" t="n">
        <v>51.0085474737029</v>
      </c>
      <c r="N13" s="11" t="n">
        <v>47.2042004641095</v>
      </c>
      <c r="O13" s="11" t="n">
        <v>45.9371288064752</v>
      </c>
      <c r="P13" s="11" t="n">
        <v>45.6791167195836</v>
      </c>
      <c r="Q13" s="11" t="n">
        <v>43.9843368268364</v>
      </c>
      <c r="R13" s="11" t="n">
        <v>41.0962703844862</v>
      </c>
      <c r="S13" s="11" t="n">
        <v>39.8416099539447</v>
      </c>
      <c r="T13" s="11" t="n">
        <v>37.6895407453714</v>
      </c>
      <c r="U13" s="11" t="n">
        <v>34.6425012763263</v>
      </c>
      <c r="V13" s="11" t="n">
        <v>33.4555531565744</v>
      </c>
      <c r="W13" s="11" t="n">
        <v>32.3836960149092</v>
      </c>
      <c r="X13" s="11" t="n">
        <v>32.0077873682813</v>
      </c>
      <c r="Y13" s="11" t="n">
        <v>31.8001327644699</v>
      </c>
      <c r="Z13" s="11" t="n">
        <v>29.4145400664695</v>
      </c>
      <c r="AA13" s="11" t="n">
        <v>27.3911979091891</v>
      </c>
      <c r="AB13" s="11" t="n">
        <v>26.2580746308719</v>
      </c>
      <c r="AC13" s="11" t="n">
        <v>25.7514144972223</v>
      </c>
      <c r="AD13" s="11" t="n">
        <v>26.2160095840191</v>
      </c>
      <c r="AE13" s="11" t="n">
        <v>24.9414708421601</v>
      </c>
      <c r="AF13" s="11" t="n">
        <v>24.4632726117639</v>
      </c>
      <c r="AG13" s="11" t="n">
        <v>24.1939353510992</v>
      </c>
      <c r="AH13" s="11" t="n">
        <v>24.6271898036407</v>
      </c>
      <c r="AI13" s="11" t="n">
        <v>22.7641456158194</v>
      </c>
      <c r="AJ13" s="11" t="n">
        <v>20.1110851340696</v>
      </c>
      <c r="AK13" s="11" t="n">
        <v>19.357039232817</v>
      </c>
      <c r="AL13" s="11" t="n">
        <v>18.1586350358792</v>
      </c>
      <c r="AM13" s="11" t="n">
        <v>18.8594503976628</v>
      </c>
      <c r="AN13" s="11" t="n">
        <v>17.9682740212774</v>
      </c>
      <c r="AO13" s="11" t="n">
        <v>17.1076589888663</v>
      </c>
      <c r="AP13" s="11" t="n">
        <v>16.5641799118225</v>
      </c>
      <c r="AQ13" s="11" t="n">
        <v>15.9308958643442</v>
      </c>
      <c r="AR13" s="11" t="n">
        <v>15.3025356855659</v>
      </c>
      <c r="AS13" s="11" t="n">
        <v>14.3826180164131</v>
      </c>
      <c r="AT13" s="11" t="n">
        <v>13.3521086673967</v>
      </c>
      <c r="AU13" s="11" t="n">
        <v>12.8480747559513</v>
      </c>
      <c r="AV13" s="11" t="n">
        <v>12.075458086189</v>
      </c>
      <c r="AW13" s="11" t="n">
        <v>11.9164738789842</v>
      </c>
      <c r="AX13" s="11" t="n">
        <v>11.7105374851993</v>
      </c>
      <c r="AY13" s="11" t="n">
        <v>9.95384909618737</v>
      </c>
      <c r="AZ13" s="11" t="n">
        <v>9.6580838861243</v>
      </c>
      <c r="BA13" s="11" t="n">
        <v>9.28989582383557</v>
      </c>
      <c r="BB13" s="11" t="n">
        <v>8.63030921532794</v>
      </c>
      <c r="BC13" s="11" t="n">
        <v>8.41816274823449</v>
      </c>
      <c r="BD13" s="11" t="n">
        <v>7.20668693109373</v>
      </c>
      <c r="BE13" s="11" t="n">
        <v>6.45490095751888</v>
      </c>
      <c r="BF13" s="11" t="n">
        <v>6.20705217410405</v>
      </c>
      <c r="BG13" s="11" t="n">
        <v>6.20024907424488</v>
      </c>
      <c r="BH13" s="11" t="n">
        <v>6.18517782483483</v>
      </c>
      <c r="BI13" s="11" t="n">
        <v>6.18958194038067</v>
      </c>
      <c r="BJ13" s="11" t="n">
        <v>6.17371158460283</v>
      </c>
      <c r="BK13" s="11" t="n">
        <v>5.87930670286175</v>
      </c>
      <c r="BL13" s="11" t="n">
        <v>5.54783759473122</v>
      </c>
      <c r="BM13" s="11" t="n">
        <v>5.40303349302193</v>
      </c>
      <c r="BN13" s="11" t="n">
        <v>88.6581983555081</v>
      </c>
      <c r="BO13" s="11" t="n">
        <v>71.8162329896712</v>
      </c>
      <c r="BP13" s="11" t="n">
        <v>55.3144024326842</v>
      </c>
      <c r="BQ13" s="11" t="n">
        <v>39.9999556760106</v>
      </c>
    </row>
    <row r="14" customFormat="false" ht="13.8" hidden="false" customHeight="false" outlineLevel="0" collapsed="false">
      <c r="A14" s="11" t="s">
        <v>137</v>
      </c>
      <c r="B14" s="11" t="s">
        <v>149</v>
      </c>
      <c r="C14" s="11" t="s">
        <v>139</v>
      </c>
      <c r="D14" s="12"/>
      <c r="E14" s="11" t="n">
        <v>158.320449756545</v>
      </c>
      <c r="F14" s="11" t="n">
        <v>159.839832424836</v>
      </c>
      <c r="G14" s="11" t="n">
        <v>153.184448340745</v>
      </c>
      <c r="H14" s="11" t="n">
        <v>147.659300867704</v>
      </c>
      <c r="I14" s="11" t="n">
        <v>148.567117733982</v>
      </c>
      <c r="J14" s="11" t="n">
        <v>145.604305277644</v>
      </c>
      <c r="K14" s="11" t="n">
        <v>147.283617426464</v>
      </c>
      <c r="L14" s="11" t="n">
        <v>145.591386114818</v>
      </c>
      <c r="M14" s="11" t="n">
        <v>144.371531234726</v>
      </c>
      <c r="N14" s="11" t="n">
        <v>134.37397142453</v>
      </c>
      <c r="O14" s="11" t="n">
        <v>132.943474117288</v>
      </c>
      <c r="P14" s="11" t="n">
        <v>127.02904708072</v>
      </c>
      <c r="Q14" s="11" t="n">
        <v>118.374388115424</v>
      </c>
      <c r="R14" s="11" t="n">
        <v>120.857368523546</v>
      </c>
      <c r="S14" s="11" t="n">
        <v>120.850126823238</v>
      </c>
      <c r="T14" s="11" t="n">
        <v>121.1350814267</v>
      </c>
      <c r="U14" s="11" t="n">
        <v>116.640834477265</v>
      </c>
      <c r="V14" s="11" t="n">
        <v>117.244124160946</v>
      </c>
      <c r="W14" s="11" t="n">
        <v>108.242631098343</v>
      </c>
      <c r="X14" s="11" t="n">
        <v>89.5143744047272</v>
      </c>
      <c r="Y14" s="11" t="n">
        <v>93.2338974395645</v>
      </c>
      <c r="Z14" s="11" t="n">
        <v>89.4570191577352</v>
      </c>
      <c r="AA14" s="11" t="n">
        <v>86.2660840939052</v>
      </c>
      <c r="AB14" s="11" t="n">
        <v>89.5157022968113</v>
      </c>
      <c r="AC14" s="11" t="n">
        <v>86.3029497268644</v>
      </c>
      <c r="AD14" s="11" t="n">
        <v>82.6382926368659</v>
      </c>
      <c r="AE14" s="11" t="n">
        <v>76.4609073439726</v>
      </c>
      <c r="AF14" s="11" t="n">
        <v>76.5699061810946</v>
      </c>
      <c r="AG14" s="11" t="n">
        <v>74.9469326837572</v>
      </c>
      <c r="AH14" s="11" t="n">
        <v>73.1278534090489</v>
      </c>
      <c r="AI14" s="11" t="n">
        <v>68.4313475708834</v>
      </c>
      <c r="AJ14" s="11" t="n">
        <v>67.9583624697291</v>
      </c>
      <c r="AK14" s="11" t="n">
        <v>65.3383777808588</v>
      </c>
      <c r="AL14" s="11" t="n">
        <v>64.0875155089661</v>
      </c>
      <c r="AM14" s="11" t="n">
        <v>54.4634888475166</v>
      </c>
      <c r="AN14" s="11" t="n">
        <v>52.4835963386211</v>
      </c>
      <c r="AO14" s="11" t="n">
        <v>51.6128103441079</v>
      </c>
      <c r="AP14" s="11" t="n">
        <v>51.4174283029607</v>
      </c>
      <c r="AQ14" s="11" t="n">
        <v>51.0768232599501</v>
      </c>
      <c r="AR14" s="11" t="n">
        <v>50.7556052502488</v>
      </c>
      <c r="AS14" s="11" t="n">
        <v>50.3748826930182</v>
      </c>
      <c r="AT14" s="11" t="n">
        <v>50.1413007407671</v>
      </c>
      <c r="AU14" s="11" t="n">
        <v>50.0116574209124</v>
      </c>
      <c r="AV14" s="11" t="n">
        <v>49.9281252851175</v>
      </c>
      <c r="AW14" s="11" t="n">
        <v>49.5733791853626</v>
      </c>
      <c r="AX14" s="11" t="n">
        <v>49.4213131383302</v>
      </c>
      <c r="AY14" s="11" t="n">
        <v>49.3333444165931</v>
      </c>
      <c r="AZ14" s="11" t="n">
        <v>49.464192108987</v>
      </c>
      <c r="BA14" s="11" t="n">
        <v>49.539600974514</v>
      </c>
      <c r="BB14" s="11" t="n">
        <v>49.7421200895069</v>
      </c>
      <c r="BC14" s="11" t="n">
        <v>50.2767634693005</v>
      </c>
      <c r="BD14" s="11" t="n">
        <v>51.1234164412048</v>
      </c>
      <c r="BE14" s="11" t="n">
        <v>51.48941902863</v>
      </c>
      <c r="BF14" s="11" t="n">
        <v>51.8769734326551</v>
      </c>
      <c r="BG14" s="11" t="n">
        <v>52.1950000675613</v>
      </c>
      <c r="BH14" s="11" t="n">
        <v>52.6371406692793</v>
      </c>
      <c r="BI14" s="11" t="n">
        <v>53.1656436196467</v>
      </c>
      <c r="BJ14" s="11" t="n">
        <v>53.5668483644871</v>
      </c>
      <c r="BK14" s="11" t="n">
        <v>54.0972905019916</v>
      </c>
      <c r="BL14" s="11" t="n">
        <v>54.6506633385203</v>
      </c>
      <c r="BM14" s="11" t="n">
        <v>55.1671152471719</v>
      </c>
      <c r="BN14" s="11" t="n">
        <v>274.064839342172</v>
      </c>
      <c r="BO14" s="11" t="n">
        <v>252.360269364897</v>
      </c>
      <c r="BP14" s="11" t="n">
        <v>247.72035413439</v>
      </c>
      <c r="BQ14" s="11" t="n">
        <v>252.171320003156</v>
      </c>
    </row>
    <row r="15" customFormat="false" ht="13.8" hidden="false" customHeight="false" outlineLevel="0" collapsed="false">
      <c r="A15" s="11" t="s">
        <v>137</v>
      </c>
      <c r="B15" s="11" t="s">
        <v>150</v>
      </c>
      <c r="C15" s="11" t="s">
        <v>139</v>
      </c>
      <c r="D15" s="12"/>
      <c r="E15" s="11" t="n">
        <v>10.6238726313304</v>
      </c>
      <c r="F15" s="11" t="n">
        <v>10.1117391556074</v>
      </c>
      <c r="G15" s="11" t="n">
        <v>9.27921462608944</v>
      </c>
      <c r="H15" s="11" t="n">
        <v>8.69384849016799</v>
      </c>
      <c r="I15" s="11" t="n">
        <v>8.25499275587914</v>
      </c>
      <c r="J15" s="11" t="n">
        <v>8.29408156773373</v>
      </c>
      <c r="K15" s="11" t="n">
        <v>7.29888881565862</v>
      </c>
      <c r="L15" s="11" t="n">
        <v>6.74965008724043</v>
      </c>
      <c r="M15" s="11" t="n">
        <v>5.96165299469253</v>
      </c>
      <c r="N15" s="11" t="n">
        <v>6.07622611866308</v>
      </c>
      <c r="O15" s="11" t="n">
        <v>5.81650006179739</v>
      </c>
      <c r="P15" s="11" t="n">
        <v>5.17351914195232</v>
      </c>
      <c r="Q15" s="11" t="n">
        <v>4.3457864800215</v>
      </c>
      <c r="R15" s="11" t="n">
        <v>4.18559867581597</v>
      </c>
      <c r="S15" s="11" t="n">
        <v>3.32599036920681</v>
      </c>
      <c r="T15" s="11" t="n">
        <v>2.9562338693275</v>
      </c>
      <c r="U15" s="11" t="n">
        <v>2.53705519258907</v>
      </c>
      <c r="V15" s="11" t="n">
        <v>1.91003713291074</v>
      </c>
      <c r="W15" s="11" t="n">
        <v>1.22774903416887</v>
      </c>
      <c r="X15" s="11" t="n">
        <v>1.13558384043056</v>
      </c>
      <c r="Y15" s="11" t="n">
        <v>1.05006812917394</v>
      </c>
      <c r="Z15" s="11" t="n">
        <v>0.403891460082559</v>
      </c>
      <c r="AA15" s="11" t="n">
        <v>0.505346373580899</v>
      </c>
      <c r="AB15" s="11" t="n">
        <v>0.398968456201688</v>
      </c>
      <c r="AC15" s="11" t="n">
        <v>0.0720308545919051</v>
      </c>
      <c r="AD15" s="11" t="n">
        <v>-0.0617161466723095</v>
      </c>
      <c r="AE15" s="11" t="n">
        <v>0.295045210907602</v>
      </c>
      <c r="AF15" s="11" t="n">
        <v>0.0212098248235166</v>
      </c>
      <c r="AG15" s="11" t="n">
        <v>0.684754591408561</v>
      </c>
      <c r="AH15" s="11" t="n">
        <v>0.551649018647841</v>
      </c>
      <c r="AI15" s="11" t="n">
        <v>0.401275637288971</v>
      </c>
      <c r="AJ15" s="11" t="n">
        <v>0.235021339974384</v>
      </c>
      <c r="AK15" s="11" t="n">
        <v>0.541752124764701</v>
      </c>
      <c r="AL15" s="11" t="n">
        <v>1.11971398879782</v>
      </c>
      <c r="AM15" s="11" t="n">
        <v>0.772473937745439</v>
      </c>
      <c r="AN15" s="11" t="n">
        <v>0.853387721119312</v>
      </c>
      <c r="AO15" s="11" t="n">
        <v>0.941803891439627</v>
      </c>
      <c r="AP15" s="11" t="n">
        <v>1.0524935424253</v>
      </c>
      <c r="AQ15" s="11" t="n">
        <v>1.03922145167634</v>
      </c>
      <c r="AR15" s="11" t="n">
        <v>1.18494290131125</v>
      </c>
      <c r="AS15" s="11" t="n">
        <v>1.33687784699157</v>
      </c>
      <c r="AT15" s="11" t="n">
        <v>1.59385231293396</v>
      </c>
      <c r="AU15" s="11" t="n">
        <v>1.8600063221481</v>
      </c>
      <c r="AV15" s="11" t="n">
        <v>2.18002045240814</v>
      </c>
      <c r="AW15" s="11" t="n">
        <v>2.52245540334349</v>
      </c>
      <c r="AX15" s="11" t="n">
        <v>2.86269668185092</v>
      </c>
      <c r="AY15" s="11" t="n">
        <v>3.19105952896709</v>
      </c>
      <c r="AZ15" s="11" t="n">
        <v>3.48110002502241</v>
      </c>
      <c r="BA15" s="11" t="n">
        <v>3.70278702304935</v>
      </c>
      <c r="BB15" s="11" t="n">
        <v>3.92197933803404</v>
      </c>
      <c r="BC15" s="11" t="n">
        <v>4.10534913163694</v>
      </c>
      <c r="BD15" s="11" t="n">
        <v>4.29487024454033</v>
      </c>
      <c r="BE15" s="11" t="n">
        <v>4.41276908506392</v>
      </c>
      <c r="BF15" s="11" t="n">
        <v>4.4824162145559</v>
      </c>
      <c r="BG15" s="11" t="n">
        <v>4.5196378751338</v>
      </c>
      <c r="BH15" s="11" t="n">
        <v>4.51963829708352</v>
      </c>
      <c r="BI15" s="11" t="n">
        <v>4.54417530675068</v>
      </c>
      <c r="BJ15" s="11" t="n">
        <v>4.5413256061281</v>
      </c>
      <c r="BK15" s="11" t="n">
        <v>4.49044859857959</v>
      </c>
      <c r="BL15" s="11" t="n">
        <v>4.432307529618</v>
      </c>
      <c r="BM15" s="11" t="n">
        <v>4.35862189668963</v>
      </c>
      <c r="BN15" s="11" t="n">
        <v>4.7398730815275</v>
      </c>
      <c r="BO15" s="11" t="n">
        <v>7.01490083506122</v>
      </c>
      <c r="BP15" s="11" t="n">
        <v>14.237332091592</v>
      </c>
      <c r="BQ15" s="11" t="n">
        <v>20.4377548223246</v>
      </c>
    </row>
    <row r="16" customFormat="false" ht="13.8" hidden="false" customHeight="false" outlineLevel="0" collapsed="false">
      <c r="A16" s="11" t="s">
        <v>137</v>
      </c>
      <c r="B16" s="11" t="s">
        <v>151</v>
      </c>
      <c r="C16" s="11" t="s">
        <v>139</v>
      </c>
      <c r="D16" s="12"/>
      <c r="E16" s="11" t="n">
        <v>203.990898453228</v>
      </c>
      <c r="F16" s="11" t="n">
        <v>200.562835432034</v>
      </c>
      <c r="G16" s="11" t="n">
        <v>188.466186204535</v>
      </c>
      <c r="H16" s="11" t="n">
        <v>170.963203369198</v>
      </c>
      <c r="I16" s="11" t="n">
        <v>166.731982037533</v>
      </c>
      <c r="J16" s="11" t="n">
        <v>163.558022733677</v>
      </c>
      <c r="K16" s="11" t="n">
        <v>163.228079644629</v>
      </c>
      <c r="L16" s="11" t="n">
        <v>150.651869663357</v>
      </c>
      <c r="M16" s="11" t="n">
        <v>155.599993474688</v>
      </c>
      <c r="N16" s="11" t="n">
        <v>147.554048329445</v>
      </c>
      <c r="O16" s="11" t="n">
        <v>159.002950084772</v>
      </c>
      <c r="P16" s="11" t="n">
        <v>169.852372811144</v>
      </c>
      <c r="Q16" s="11" t="n">
        <v>165.481526928505</v>
      </c>
      <c r="R16" s="11" t="n">
        <v>174.488326762299</v>
      </c>
      <c r="S16" s="11" t="n">
        <v>174.146106305149</v>
      </c>
      <c r="T16" s="11" t="n">
        <v>173.414280568351</v>
      </c>
      <c r="U16" s="11" t="n">
        <v>182.337388612104</v>
      </c>
      <c r="V16" s="11" t="n">
        <v>178.045796539605</v>
      </c>
      <c r="W16" s="11" t="n">
        <v>172.942727963949</v>
      </c>
      <c r="X16" s="11" t="n">
        <v>151.155947829117</v>
      </c>
      <c r="Y16" s="11" t="n">
        <v>157.445333251227</v>
      </c>
      <c r="Z16" s="11" t="n">
        <v>144.684782409633</v>
      </c>
      <c r="AA16" s="11" t="n">
        <v>158.684183531496</v>
      </c>
      <c r="AB16" s="11" t="n">
        <v>147.67197837057</v>
      </c>
      <c r="AC16" s="11" t="n">
        <v>124.452796170375</v>
      </c>
      <c r="AD16" s="11" t="n">
        <v>104.29241497766</v>
      </c>
      <c r="AE16" s="11" t="n">
        <v>82.2603660829251</v>
      </c>
      <c r="AF16" s="11" t="n">
        <v>72.2297332412677</v>
      </c>
      <c r="AG16" s="11" t="n">
        <v>65.8521459059208</v>
      </c>
      <c r="AH16" s="11" t="n">
        <v>57.8513758830216</v>
      </c>
      <c r="AI16" s="11" t="n">
        <v>49.5299798778971</v>
      </c>
      <c r="AJ16" s="11" t="n">
        <v>54.7621414064754</v>
      </c>
      <c r="AK16" s="11" t="n">
        <v>55.0427992563346</v>
      </c>
      <c r="AL16" s="11" t="n">
        <v>43.9334967691422</v>
      </c>
      <c r="AM16" s="11" t="n">
        <v>38.722355501135</v>
      </c>
      <c r="AN16" s="11" t="n">
        <v>26.8809106486254</v>
      </c>
      <c r="AO16" s="11" t="n">
        <v>24.5867442477916</v>
      </c>
      <c r="AP16" s="11" t="n">
        <v>22.1369287404853</v>
      </c>
      <c r="AQ16" s="11" t="n">
        <v>21.3550526444336</v>
      </c>
      <c r="AR16" s="11" t="n">
        <v>22.827741179877</v>
      </c>
      <c r="AS16" s="11" t="n">
        <v>24.8510299043816</v>
      </c>
      <c r="AT16" s="11" t="n">
        <v>25.4326385891919</v>
      </c>
      <c r="AU16" s="11" t="n">
        <v>26.2905377722069</v>
      </c>
      <c r="AV16" s="11" t="n">
        <v>27.0893730311403</v>
      </c>
      <c r="AW16" s="11" t="n">
        <v>28.1665837700545</v>
      </c>
      <c r="AX16" s="11" t="n">
        <v>30.7778355475573</v>
      </c>
      <c r="AY16" s="11" t="n">
        <v>32.6865562901222</v>
      </c>
      <c r="AZ16" s="11" t="n">
        <v>34.1413907576529</v>
      </c>
      <c r="BA16" s="11" t="n">
        <v>34.695491818895</v>
      </c>
      <c r="BB16" s="11" t="n">
        <v>35.0981584234347</v>
      </c>
      <c r="BC16" s="11" t="n">
        <v>35.6104446778783</v>
      </c>
      <c r="BD16" s="11" t="n">
        <v>36.944987650805</v>
      </c>
      <c r="BE16" s="11" t="n">
        <v>38.646151433954</v>
      </c>
      <c r="BF16" s="11" t="n">
        <v>39.8900311049218</v>
      </c>
      <c r="BG16" s="11" t="n">
        <v>41.1061655172481</v>
      </c>
      <c r="BH16" s="11" t="n">
        <v>41.7312271967715</v>
      </c>
      <c r="BI16" s="11" t="n">
        <v>42.7657816750586</v>
      </c>
      <c r="BJ16" s="11" t="n">
        <v>43.8166138077439</v>
      </c>
      <c r="BK16" s="11" t="n">
        <v>45.2801261288876</v>
      </c>
      <c r="BL16" s="11" t="n">
        <v>43.9489079718461</v>
      </c>
      <c r="BM16" s="11" t="n">
        <v>42.151711911479</v>
      </c>
      <c r="BN16" s="11" t="n">
        <v>156.260435907179</v>
      </c>
      <c r="BO16" s="11" t="n">
        <v>120.757000090091</v>
      </c>
      <c r="BP16" s="11" t="n">
        <v>152.861739396527</v>
      </c>
      <c r="BQ16" s="11" t="n">
        <v>180.995234004967</v>
      </c>
    </row>
    <row r="17" customFormat="false" ht="13.8" hidden="false" customHeight="false" outlineLevel="0" collapsed="false">
      <c r="A17" s="11" t="s">
        <v>137</v>
      </c>
      <c r="B17" s="11" t="s">
        <v>152</v>
      </c>
      <c r="C17" s="11" t="s">
        <v>139</v>
      </c>
      <c r="D17" s="12"/>
      <c r="E17" s="11" t="n">
        <v>70.0972561713184</v>
      </c>
      <c r="F17" s="11" t="n">
        <v>70.9694415618387</v>
      </c>
      <c r="G17" s="11" t="n">
        <v>71.132294619585</v>
      </c>
      <c r="H17" s="11" t="n">
        <v>71.8122172910779</v>
      </c>
      <c r="I17" s="11" t="n">
        <v>72.2957485820843</v>
      </c>
      <c r="J17" s="11" t="n">
        <v>73.0157977582613</v>
      </c>
      <c r="K17" s="11" t="n">
        <v>73.6646952887651</v>
      </c>
      <c r="L17" s="11" t="n">
        <v>73.2585135370301</v>
      </c>
      <c r="M17" s="11" t="n">
        <v>72.857866554095</v>
      </c>
      <c r="N17" s="11" t="n">
        <v>70.3376634874946</v>
      </c>
      <c r="O17" s="11" t="n">
        <v>67.5493303656442</v>
      </c>
      <c r="P17" s="11" t="n">
        <v>65.2372960190355</v>
      </c>
      <c r="Q17" s="11" t="n">
        <v>64.7778902640439</v>
      </c>
      <c r="R17" s="11" t="n">
        <v>61.3375599734718</v>
      </c>
      <c r="S17" s="11" t="n">
        <v>56.6721891543269</v>
      </c>
      <c r="T17" s="11" t="n">
        <v>54.4072424596031</v>
      </c>
      <c r="U17" s="11" t="n">
        <v>52.4213760930319</v>
      </c>
      <c r="V17" s="11" t="n">
        <v>48.8156230762384</v>
      </c>
      <c r="W17" s="11" t="n">
        <v>43.9393870887182</v>
      </c>
      <c r="X17" s="11" t="n">
        <v>39.8636352384587</v>
      </c>
      <c r="Y17" s="11" t="n">
        <v>34.6261847227992</v>
      </c>
      <c r="Z17" s="11" t="n">
        <v>32.3276483620429</v>
      </c>
      <c r="AA17" s="11" t="n">
        <v>30.6018352790237</v>
      </c>
      <c r="AB17" s="11" t="n">
        <v>27.2165028540718</v>
      </c>
      <c r="AC17" s="11" t="n">
        <v>24.7648403332128</v>
      </c>
      <c r="AD17" s="11" t="n">
        <v>23.9395272811453</v>
      </c>
      <c r="AE17" s="11" t="n">
        <v>22.7629858056435</v>
      </c>
      <c r="AF17" s="11" t="n">
        <v>23.1009316290312</v>
      </c>
      <c r="AG17" s="11" t="n">
        <v>22.9437825900193</v>
      </c>
      <c r="AH17" s="11" t="n">
        <v>22.4612195704562</v>
      </c>
      <c r="AI17" s="11" t="n">
        <v>20.9554957607479</v>
      </c>
      <c r="AJ17" s="11" t="n">
        <v>19.8902591743334</v>
      </c>
      <c r="AK17" s="11" t="n">
        <v>19.7926657409702</v>
      </c>
      <c r="AL17" s="11" t="n">
        <v>19.6853537342984</v>
      </c>
      <c r="AM17" s="11" t="n">
        <v>18.8578119235529</v>
      </c>
      <c r="AN17" s="11" t="n">
        <v>18.4996959110775</v>
      </c>
      <c r="AO17" s="11" t="n">
        <v>18.0931167547176</v>
      </c>
      <c r="AP17" s="11" t="n">
        <v>18.875099598956</v>
      </c>
      <c r="AQ17" s="11" t="n">
        <v>18.3607725664419</v>
      </c>
      <c r="AR17" s="11" t="n">
        <v>17.8952840789586</v>
      </c>
      <c r="AS17" s="11" t="n">
        <v>17.4462949137609</v>
      </c>
      <c r="AT17" s="11" t="n">
        <v>17.0198415098245</v>
      </c>
      <c r="AU17" s="11" t="n">
        <v>16.6409693755456</v>
      </c>
      <c r="AV17" s="11" t="n">
        <v>16.3040028143686</v>
      </c>
      <c r="AW17" s="11" t="n">
        <v>15.9959044739542</v>
      </c>
      <c r="AX17" s="11" t="n">
        <v>15.7007544884481</v>
      </c>
      <c r="AY17" s="11" t="n">
        <v>15.445974956571</v>
      </c>
      <c r="AZ17" s="11" t="n">
        <v>15.1984712493567</v>
      </c>
      <c r="BA17" s="11" t="n">
        <v>14.9413599502446</v>
      </c>
      <c r="BB17" s="11" t="n">
        <v>14.7175115616353</v>
      </c>
      <c r="BC17" s="11" t="n">
        <v>14.507203319254</v>
      </c>
      <c r="BD17" s="11" t="n">
        <v>14.3883360571319</v>
      </c>
      <c r="BE17" s="11" t="n">
        <v>14.2933899683185</v>
      </c>
      <c r="BF17" s="11" t="n">
        <v>14.2410428545394</v>
      </c>
      <c r="BG17" s="11" t="n">
        <v>14.2168945263939</v>
      </c>
      <c r="BH17" s="11" t="n">
        <v>14.1221192447943</v>
      </c>
      <c r="BI17" s="11" t="n">
        <v>14.0545212133166</v>
      </c>
      <c r="BJ17" s="11" t="n">
        <v>14.0081266160931</v>
      </c>
      <c r="BK17" s="11" t="n">
        <v>13.954309015268</v>
      </c>
      <c r="BL17" s="11" t="n">
        <v>13.9028987124005</v>
      </c>
      <c r="BM17" s="11" t="n">
        <v>13.7900448563161</v>
      </c>
      <c r="BN17" s="11" t="n">
        <v>94.0110779226024</v>
      </c>
      <c r="BO17" s="11" t="n">
        <v>87.3631624445316</v>
      </c>
      <c r="BP17" s="11" t="n">
        <v>78.6451079826987</v>
      </c>
      <c r="BQ17" s="11" t="n">
        <v>72.8478008565842</v>
      </c>
    </row>
    <row r="18" customFormat="false" ht="13.8" hidden="false" customHeight="false" outlineLevel="0" collapsed="false">
      <c r="A18" s="11" t="s">
        <v>137</v>
      </c>
      <c r="B18" s="11" t="s">
        <v>153</v>
      </c>
      <c r="C18" s="11" t="s">
        <v>139</v>
      </c>
      <c r="D18" s="12" t="str">
        <f aca="false">HYPERLINK("#Notes!A12","[note 9]")</f>
        <v>[note 9]</v>
      </c>
      <c r="E18" s="11" t="n">
        <v>23.6473354671225</v>
      </c>
      <c r="F18" s="11" t="n">
        <v>23.2238117778929</v>
      </c>
      <c r="G18" s="11" t="n">
        <v>25.0674766754312</v>
      </c>
      <c r="H18" s="11" t="n">
        <v>26.0747083264046</v>
      </c>
      <c r="I18" s="11" t="n">
        <v>26.3369066614471</v>
      </c>
      <c r="J18" s="11" t="n">
        <v>28.0182830316568</v>
      </c>
      <c r="K18" s="11" t="n">
        <v>29.8201117831724</v>
      </c>
      <c r="L18" s="11" t="n">
        <v>32.1229921582173</v>
      </c>
      <c r="M18" s="11" t="n">
        <v>35.1033809909252</v>
      </c>
      <c r="N18" s="11" t="n">
        <v>34.8755183868604</v>
      </c>
      <c r="O18" s="11" t="n">
        <v>36.9154695816991</v>
      </c>
      <c r="P18" s="11" t="n">
        <v>36.7949293730316</v>
      </c>
      <c r="Q18" s="11" t="n">
        <v>35.1065129919002</v>
      </c>
      <c r="R18" s="11" t="n">
        <v>35.3290054825154</v>
      </c>
      <c r="S18" s="11" t="n">
        <v>39.2287577125004</v>
      </c>
      <c r="T18" s="11" t="n">
        <v>41.7287887769468</v>
      </c>
      <c r="U18" s="11" t="n">
        <v>43.1749546520889</v>
      </c>
      <c r="V18" s="11" t="n">
        <v>43.0630188852149</v>
      </c>
      <c r="W18" s="11" t="n">
        <v>45.7803651854211</v>
      </c>
      <c r="X18" s="11" t="n">
        <v>44.2643082247738</v>
      </c>
      <c r="Y18" s="11" t="n">
        <v>42.2289877562772</v>
      </c>
      <c r="Z18" s="11" t="n">
        <v>43.0974906356033</v>
      </c>
      <c r="AA18" s="11" t="n">
        <v>41.0569603929463</v>
      </c>
      <c r="AB18" s="11" t="n">
        <v>42.036236940371</v>
      </c>
      <c r="AC18" s="11" t="n">
        <v>41.401543395917</v>
      </c>
      <c r="AD18" s="11" t="n">
        <v>41.4886704927752</v>
      </c>
      <c r="AE18" s="11" t="n">
        <v>42.622749250422</v>
      </c>
      <c r="AF18" s="11" t="n">
        <v>44.9002542634811</v>
      </c>
      <c r="AG18" s="11" t="n">
        <v>44.4742068265647</v>
      </c>
      <c r="AH18" s="11" t="n">
        <v>43.3719580381914</v>
      </c>
      <c r="AI18" s="11" t="n">
        <v>21.234127938688</v>
      </c>
      <c r="AJ18" s="11" t="n">
        <v>19.9969338838027</v>
      </c>
      <c r="AK18" s="11" t="n">
        <v>34.6580394217991</v>
      </c>
      <c r="AL18" s="11" t="n">
        <v>39.4748838099595</v>
      </c>
      <c r="AM18" s="11" t="n">
        <v>42.3310481934235</v>
      </c>
      <c r="AN18" s="11" t="n">
        <v>42.6709123373074</v>
      </c>
      <c r="AO18" s="11" t="n">
        <v>42.1515661275554</v>
      </c>
      <c r="AP18" s="11" t="n">
        <v>41.9723848212771</v>
      </c>
      <c r="AQ18" s="11" t="n">
        <v>41.0235200162787</v>
      </c>
      <c r="AR18" s="11" t="n">
        <v>41.2712917348442</v>
      </c>
      <c r="AS18" s="11" t="n">
        <v>40.2550509807</v>
      </c>
      <c r="AT18" s="11" t="n">
        <v>40.1744371287429</v>
      </c>
      <c r="AU18" s="11" t="n">
        <v>39.8148793819014</v>
      </c>
      <c r="AV18" s="11" t="n">
        <v>39.1131544836259</v>
      </c>
      <c r="AW18" s="11" t="n">
        <v>38.5920769166463</v>
      </c>
      <c r="AX18" s="11" t="n">
        <v>38.3843331382221</v>
      </c>
      <c r="AY18" s="11" t="n">
        <v>37.7781414246568</v>
      </c>
      <c r="AZ18" s="11" t="n">
        <v>37.0109054828062</v>
      </c>
      <c r="BA18" s="11" t="n">
        <v>36.8346312151507</v>
      </c>
      <c r="BB18" s="11" t="n">
        <v>36.859755229299</v>
      </c>
      <c r="BC18" s="11" t="n">
        <v>36.5757137461941</v>
      </c>
      <c r="BD18" s="11" t="n">
        <v>37.0523524737419</v>
      </c>
      <c r="BE18" s="11" t="n">
        <v>37.5819623734359</v>
      </c>
      <c r="BF18" s="11" t="n">
        <v>37.5074395695807</v>
      </c>
      <c r="BG18" s="11" t="n">
        <v>37.2031827960332</v>
      </c>
      <c r="BH18" s="11" t="n">
        <v>36.7393215363397</v>
      </c>
      <c r="BI18" s="11" t="n">
        <v>36.2480405962512</v>
      </c>
      <c r="BJ18" s="11" t="n">
        <v>35.5353123246789</v>
      </c>
      <c r="BK18" s="11" t="n">
        <v>35.731052983795</v>
      </c>
      <c r="BL18" s="11" t="n">
        <v>34.6046567857409</v>
      </c>
      <c r="BM18" s="11" t="n">
        <v>34.0464399792679</v>
      </c>
      <c r="BN18" s="11" t="n">
        <v>208.600795289523</v>
      </c>
      <c r="BO18" s="11" t="n">
        <v>202.539179242467</v>
      </c>
      <c r="BP18" s="11" t="n">
        <v>190.878611445957</v>
      </c>
      <c r="BQ18" s="11" t="n">
        <v>184.904415037821</v>
      </c>
    </row>
    <row r="19" customFormat="false" ht="35" hidden="false" customHeight="true" outlineLevel="0" collapsed="false">
      <c r="A19" s="11" t="s">
        <v>154</v>
      </c>
      <c r="B19" s="11" t="s">
        <v>140</v>
      </c>
      <c r="C19" s="11" t="s">
        <v>139</v>
      </c>
      <c r="D19" s="12"/>
      <c r="E19" s="11" t="n">
        <v>626.74127603061</v>
      </c>
      <c r="F19" s="11" t="n">
        <v>633.41009319712</v>
      </c>
      <c r="G19" s="11" t="n">
        <v>618.712003315911</v>
      </c>
      <c r="H19" s="11" t="n">
        <v>605.008449991874</v>
      </c>
      <c r="I19" s="11" t="n">
        <v>598.957246378192</v>
      </c>
      <c r="J19" s="11" t="n">
        <v>592.755846340605</v>
      </c>
      <c r="K19" s="11" t="n">
        <v>614.153580461247</v>
      </c>
      <c r="L19" s="11" t="n">
        <v>592.38182984039</v>
      </c>
      <c r="M19" s="11" t="n">
        <v>599.520841403738</v>
      </c>
      <c r="N19" s="11" t="n">
        <v>592.134721881794</v>
      </c>
      <c r="O19" s="11" t="n">
        <v>601.736275058671</v>
      </c>
      <c r="P19" s="11" t="n">
        <v>610.416946742664</v>
      </c>
      <c r="Q19" s="11" t="n">
        <v>590.586540392035</v>
      </c>
      <c r="R19" s="11" t="n">
        <v>601.516918179149</v>
      </c>
      <c r="S19" s="11" t="n">
        <v>606.732146221425</v>
      </c>
      <c r="T19" s="11" t="n">
        <v>605.564376644162</v>
      </c>
      <c r="U19" s="11" t="n">
        <v>604.236754725554</v>
      </c>
      <c r="V19" s="11" t="n">
        <v>594.955034919507</v>
      </c>
      <c r="W19" s="11" t="n">
        <v>582.89495484972</v>
      </c>
      <c r="X19" s="11" t="n">
        <v>530.466940415707</v>
      </c>
      <c r="Y19" s="11" t="n">
        <v>547.044868464097</v>
      </c>
      <c r="Z19" s="11" t="n">
        <v>505.861852418604</v>
      </c>
      <c r="AA19" s="11" t="n">
        <v>521.856340955767</v>
      </c>
      <c r="AB19" s="11" t="n">
        <v>514.457849500392</v>
      </c>
      <c r="AC19" s="11" t="n">
        <v>473.045015352263</v>
      </c>
      <c r="AD19" s="11" t="n">
        <v>454.135277017503</v>
      </c>
      <c r="AE19" s="11" t="n">
        <v>431.653154166264</v>
      </c>
      <c r="AF19" s="11" t="n">
        <v>421.582477423981</v>
      </c>
      <c r="AG19" s="11" t="n">
        <v>415.454001659022</v>
      </c>
      <c r="AH19" s="11" t="n">
        <v>398.585685144377</v>
      </c>
      <c r="AI19" s="11" t="n">
        <v>341.488405841585</v>
      </c>
      <c r="AJ19" s="11" t="n">
        <v>356.234922004987</v>
      </c>
      <c r="AK19" s="11" t="n">
        <v>355.115472816986</v>
      </c>
      <c r="AL19" s="11" t="n">
        <v>341.934148529255</v>
      </c>
      <c r="AM19" s="11" t="n">
        <v>333.205764375449</v>
      </c>
      <c r="AN19" s="11" t="n">
        <v>326.140817993984</v>
      </c>
      <c r="AO19" s="11" t="n">
        <v>318.794143810896</v>
      </c>
      <c r="AP19" s="11" t="n">
        <v>312.510675955182</v>
      </c>
      <c r="AQ19" s="11" t="n">
        <v>305.479482560661</v>
      </c>
      <c r="AR19" s="11" t="n">
        <v>301.363595758164</v>
      </c>
      <c r="AS19" s="11" t="n">
        <v>295.020734033924</v>
      </c>
      <c r="AT19" s="11" t="n">
        <v>288.938410271765</v>
      </c>
      <c r="AU19" s="11" t="n">
        <v>284.016447245465</v>
      </c>
      <c r="AV19" s="11" t="n">
        <v>279.204450874311</v>
      </c>
      <c r="AW19" s="11" t="n">
        <v>275.64509621608</v>
      </c>
      <c r="AX19" s="11" t="n">
        <v>274.722941822814</v>
      </c>
      <c r="AY19" s="11" t="n">
        <v>271.921451897714</v>
      </c>
      <c r="AZ19" s="11" t="n">
        <v>270.228739270273</v>
      </c>
      <c r="BA19" s="11" t="n">
        <v>268.278900609446</v>
      </c>
      <c r="BB19" s="11" t="n">
        <v>266.591915879854</v>
      </c>
      <c r="BC19" s="11" t="n">
        <v>265.666112271666</v>
      </c>
      <c r="BD19" s="11" t="n">
        <v>266.161098230675</v>
      </c>
      <c r="BE19" s="11" t="n">
        <v>266.977522477582</v>
      </c>
      <c r="BF19" s="11" t="n">
        <v>267.366209455692</v>
      </c>
      <c r="BG19" s="11" t="n">
        <v>267.982980440367</v>
      </c>
      <c r="BH19" s="11" t="n">
        <v>267.738223725983</v>
      </c>
      <c r="BI19" s="11" t="n">
        <v>268.297890467199</v>
      </c>
      <c r="BJ19" s="11" t="n">
        <v>268.721965240062</v>
      </c>
      <c r="BK19" s="11" t="n">
        <v>270.305580134162</v>
      </c>
      <c r="BL19" s="11" t="n">
        <v>267.670270046195</v>
      </c>
      <c r="BM19" s="11" t="n">
        <v>265.321423742692</v>
      </c>
      <c r="BN19" s="11" t="n">
        <v>1632.58555066476</v>
      </c>
      <c r="BO19" s="11" t="n">
        <v>1474.81866986998</v>
      </c>
      <c r="BP19" s="11" t="n">
        <v>1371.72268008119</v>
      </c>
      <c r="BQ19" s="11" t="n">
        <v>1333.67554946922</v>
      </c>
    </row>
    <row r="20" customFormat="false" ht="13.8" hidden="false" customHeight="false" outlineLevel="0" collapsed="false">
      <c r="A20" s="11" t="s">
        <v>155</v>
      </c>
      <c r="B20" s="11" t="s">
        <v>140</v>
      </c>
      <c r="C20" s="11" t="s">
        <v>139</v>
      </c>
      <c r="D20" s="12"/>
      <c r="E20" s="11" t="n">
        <v>148.527298002034</v>
      </c>
      <c r="F20" s="11" t="n">
        <v>149.533858246148</v>
      </c>
      <c r="G20" s="11" t="n">
        <v>149.344798809978</v>
      </c>
      <c r="H20" s="11" t="n">
        <v>147.849868527015</v>
      </c>
      <c r="I20" s="11" t="n">
        <v>140.220832717652</v>
      </c>
      <c r="J20" s="11" t="n">
        <v>141.62570447565</v>
      </c>
      <c r="K20" s="11" t="n">
        <v>141.138614388232</v>
      </c>
      <c r="L20" s="11" t="n">
        <v>138.524436182828</v>
      </c>
      <c r="M20" s="11" t="n">
        <v>135.462212228555</v>
      </c>
      <c r="N20" s="11" t="n">
        <v>129.859065263225</v>
      </c>
      <c r="O20" s="11" t="n">
        <v>123.920486839629</v>
      </c>
      <c r="P20" s="11" t="n">
        <v>118.64001130189</v>
      </c>
      <c r="Q20" s="11" t="n">
        <v>116.77678020067</v>
      </c>
      <c r="R20" s="11" t="n">
        <v>111.853160224235</v>
      </c>
      <c r="S20" s="11" t="n">
        <v>107.033936822039</v>
      </c>
      <c r="T20" s="11" t="n">
        <v>102.664117491926</v>
      </c>
      <c r="U20" s="11" t="n">
        <v>99.2297893209561</v>
      </c>
      <c r="V20" s="11" t="n">
        <v>94.7753153178419</v>
      </c>
      <c r="W20" s="11" t="n">
        <v>88.4981359307023</v>
      </c>
      <c r="X20" s="11" t="n">
        <v>83.9244036183387</v>
      </c>
      <c r="Y20" s="11" t="n">
        <v>78.667322755185</v>
      </c>
      <c r="Z20" s="11" t="n">
        <v>75.6712751364843</v>
      </c>
      <c r="AA20" s="11" t="n">
        <v>73.8280122064821</v>
      </c>
      <c r="AB20" s="11" t="n">
        <v>68.9801770117071</v>
      </c>
      <c r="AC20" s="11" t="n">
        <v>66.682108693293</v>
      </c>
      <c r="AD20" s="11" t="n">
        <v>65.4783580021182</v>
      </c>
      <c r="AE20" s="11" t="n">
        <v>63.0801894570004</v>
      </c>
      <c r="AF20" s="11" t="n">
        <v>63.35861040571</v>
      </c>
      <c r="AG20" s="11" t="n">
        <v>62.7602337118585</v>
      </c>
      <c r="AH20" s="11" t="n">
        <v>62.4134940187284</v>
      </c>
      <c r="AI20" s="11" t="n">
        <v>59.9984424095153</v>
      </c>
      <c r="AJ20" s="11" t="n">
        <v>58.7276734594612</v>
      </c>
      <c r="AK20" s="11" t="n">
        <v>58.0898467243932</v>
      </c>
      <c r="AL20" s="11" t="n">
        <v>57.0200585910277</v>
      </c>
      <c r="AM20" s="11" t="n">
        <v>55.5172727235413</v>
      </c>
      <c r="AN20" s="11" t="n">
        <v>54.6944630585967</v>
      </c>
      <c r="AO20" s="11" t="n">
        <v>54.027993509388</v>
      </c>
      <c r="AP20" s="11" t="n">
        <v>54.629892799467</v>
      </c>
      <c r="AQ20" s="11" t="n">
        <v>53.8742792956905</v>
      </c>
      <c r="AR20" s="11" t="n">
        <v>53.2623810803682</v>
      </c>
      <c r="AS20" s="11" t="n">
        <v>52.6004027702647</v>
      </c>
      <c r="AT20" s="11" t="n">
        <v>51.9422056452274</v>
      </c>
      <c r="AU20" s="11" t="n">
        <v>51.2538616261958</v>
      </c>
      <c r="AV20" s="11" t="n">
        <v>50.616968581597</v>
      </c>
      <c r="AW20" s="11" t="n">
        <v>50.0556247621914</v>
      </c>
      <c r="AX20" s="11" t="n">
        <v>49.4554677025088</v>
      </c>
      <c r="AY20" s="11" t="n">
        <v>48.8479044554735</v>
      </c>
      <c r="AZ20" s="11" t="n">
        <v>48.2338040535888</v>
      </c>
      <c r="BA20" s="11" t="n">
        <v>47.6694279778665</v>
      </c>
      <c r="BB20" s="11" t="n">
        <v>47.1175285552481</v>
      </c>
      <c r="BC20" s="11" t="n">
        <v>46.5868074147919</v>
      </c>
      <c r="BD20" s="11" t="n">
        <v>46.0657235508906</v>
      </c>
      <c r="BE20" s="11" t="n">
        <v>45.5790913076382</v>
      </c>
      <c r="BF20" s="11" t="n">
        <v>45.1756742706378</v>
      </c>
      <c r="BG20" s="11" t="n">
        <v>44.7970693072339</v>
      </c>
      <c r="BH20" s="11" t="n">
        <v>44.3406382817927</v>
      </c>
      <c r="BI20" s="11" t="n">
        <v>43.9081199253542</v>
      </c>
      <c r="BJ20" s="11" t="n">
        <v>43.4894234565918</v>
      </c>
      <c r="BK20" s="11" t="n">
        <v>43.0673996528267</v>
      </c>
      <c r="BL20" s="11" t="n">
        <v>42.6555709558109</v>
      </c>
      <c r="BM20" s="11" t="n">
        <v>42.1888542206504</v>
      </c>
      <c r="BN20" s="11" t="n">
        <v>275.889680682021</v>
      </c>
      <c r="BO20" s="11" t="n">
        <v>262.933130417747</v>
      </c>
      <c r="BP20" s="11" t="n">
        <v>247.20976955536</v>
      </c>
      <c r="BQ20" s="11" t="n">
        <v>233.018578806435</v>
      </c>
    </row>
    <row r="21" customFormat="false" ht="13.8" hidden="false" customHeight="false" outlineLevel="0" collapsed="false">
      <c r="A21" s="11" t="s">
        <v>156</v>
      </c>
      <c r="B21" s="11" t="s">
        <v>140</v>
      </c>
      <c r="C21" s="11" t="s">
        <v>139</v>
      </c>
      <c r="D21" s="12"/>
      <c r="E21" s="11" t="n">
        <v>44.3002234775335</v>
      </c>
      <c r="F21" s="11" t="n">
        <v>44.4052277252299</v>
      </c>
      <c r="G21" s="11" t="n">
        <v>39.9378274497615</v>
      </c>
      <c r="H21" s="11" t="n">
        <v>36.1377812173721</v>
      </c>
      <c r="I21" s="11" t="n">
        <v>36.733575590136</v>
      </c>
      <c r="J21" s="11" t="n">
        <v>35.5262647513158</v>
      </c>
      <c r="K21" s="11" t="n">
        <v>35.5202840220702</v>
      </c>
      <c r="L21" s="11" t="n">
        <v>35.7888793937191</v>
      </c>
      <c r="M21" s="11" t="n">
        <v>35.8446693081236</v>
      </c>
      <c r="N21" s="11" t="n">
        <v>27.2931949805531</v>
      </c>
      <c r="O21" s="11" t="n">
        <v>26.7745080049932</v>
      </c>
      <c r="P21" s="11" t="n">
        <v>25.5332295216333</v>
      </c>
      <c r="Q21" s="11" t="n">
        <v>24.0080781455952</v>
      </c>
      <c r="R21" s="11" t="n">
        <v>23.6493473576149</v>
      </c>
      <c r="S21" s="11" t="n">
        <v>24.1732056787632</v>
      </c>
      <c r="T21" s="11" t="n">
        <v>23.2738708129377</v>
      </c>
      <c r="U21" s="11" t="n">
        <v>22.3723859735233</v>
      </c>
      <c r="V21" s="11" t="n">
        <v>22.3871776205365</v>
      </c>
      <c r="W21" s="11" t="n">
        <v>21.8687745509561</v>
      </c>
      <c r="X21" s="11" t="n">
        <v>20.4093851389545</v>
      </c>
      <c r="Y21" s="11" t="n">
        <v>20.850592457761</v>
      </c>
      <c r="Z21" s="11" t="n">
        <v>20.1180492670757</v>
      </c>
      <c r="AA21" s="11" t="n">
        <v>20.0301007556531</v>
      </c>
      <c r="AB21" s="11" t="n">
        <v>20.0757852277799</v>
      </c>
      <c r="AC21" s="11" t="n">
        <v>20.5757861988295</v>
      </c>
      <c r="AD21" s="11" t="n">
        <v>20.4522889297316</v>
      </c>
      <c r="AE21" s="11" t="n">
        <v>20.0055547697638</v>
      </c>
      <c r="AF21" s="11" t="n">
        <v>20.2878791430464</v>
      </c>
      <c r="AG21" s="11" t="n">
        <v>20.1618254992518</v>
      </c>
      <c r="AH21" s="11" t="n">
        <v>20.2029843423827</v>
      </c>
      <c r="AI21" s="11" t="n">
        <v>18.9789878158805</v>
      </c>
      <c r="AJ21" s="11" t="n">
        <v>19.343581552368</v>
      </c>
      <c r="AK21" s="11" t="n">
        <v>18.5808205022007</v>
      </c>
      <c r="AL21" s="11" t="n">
        <v>18.4485657982639</v>
      </c>
      <c r="AM21" s="11" t="n">
        <v>18.7553341449773</v>
      </c>
      <c r="AN21" s="11" t="n">
        <v>18.7358497507516</v>
      </c>
      <c r="AO21" s="11" t="n">
        <v>18.715174358814</v>
      </c>
      <c r="AP21" s="11" t="n">
        <v>18.6708417954925</v>
      </c>
      <c r="AQ21" s="11" t="n">
        <v>18.5398310119726</v>
      </c>
      <c r="AR21" s="11" t="n">
        <v>18.5159707739275</v>
      </c>
      <c r="AS21" s="11" t="n">
        <v>18.4403799422769</v>
      </c>
      <c r="AT21" s="11" t="n">
        <v>18.3615961304776</v>
      </c>
      <c r="AU21" s="11" t="n">
        <v>18.2191940845121</v>
      </c>
      <c r="AV21" s="11" t="n">
        <v>18.1265854887731</v>
      </c>
      <c r="AW21" s="11" t="n">
        <v>18.0502065342748</v>
      </c>
      <c r="AX21" s="11" t="n">
        <v>17.9448289968633</v>
      </c>
      <c r="AY21" s="11" t="n">
        <v>17.8400399317361</v>
      </c>
      <c r="AZ21" s="11" t="n">
        <v>17.6532283160364</v>
      </c>
      <c r="BA21" s="11" t="n">
        <v>17.5792180336715</v>
      </c>
      <c r="BB21" s="11" t="n">
        <v>17.4979685133693</v>
      </c>
      <c r="BC21" s="11" t="n">
        <v>17.4223417870949</v>
      </c>
      <c r="BD21" s="11" t="n">
        <v>17.3458492000938</v>
      </c>
      <c r="BE21" s="11" t="n">
        <v>17.2758259569124</v>
      </c>
      <c r="BF21" s="11" t="n">
        <v>17.217910379098</v>
      </c>
      <c r="BG21" s="11" t="n">
        <v>17.1625849135474</v>
      </c>
      <c r="BH21" s="11" t="n">
        <v>17.1055032971791</v>
      </c>
      <c r="BI21" s="11" t="n">
        <v>17.0533948226861</v>
      </c>
      <c r="BJ21" s="11" t="n">
        <v>16.998176027739</v>
      </c>
      <c r="BK21" s="11" t="n">
        <v>16.9477897550303</v>
      </c>
      <c r="BL21" s="11" t="n">
        <v>16.8882563270993</v>
      </c>
      <c r="BM21" s="11" t="n">
        <v>16.8348435331902</v>
      </c>
      <c r="BN21" s="11" t="n">
        <v>93.3257658482993</v>
      </c>
      <c r="BO21" s="11" t="n">
        <v>92.0769719431666</v>
      </c>
      <c r="BP21" s="11" t="n">
        <v>89.6148892676836</v>
      </c>
      <c r="BQ21" s="11" t="n">
        <v>87.1212034911418</v>
      </c>
    </row>
    <row r="22" customFormat="false" ht="13.8" hidden="false" customHeight="false" outlineLevel="0" collapsed="false">
      <c r="A22" s="11" t="s">
        <v>157</v>
      </c>
      <c r="B22" s="11" t="s">
        <v>140</v>
      </c>
      <c r="C22" s="11" t="s">
        <v>139</v>
      </c>
      <c r="D22" s="12"/>
      <c r="E22" s="11" t="n">
        <v>12.0611019747843</v>
      </c>
      <c r="F22" s="11" t="n">
        <v>12.560947045067</v>
      </c>
      <c r="G22" s="11" t="n">
        <v>13.0608970765087</v>
      </c>
      <c r="H22" s="11" t="n">
        <v>13.7022535833677</v>
      </c>
      <c r="I22" s="11" t="n">
        <v>14.4551323986846</v>
      </c>
      <c r="J22" s="11" t="n">
        <v>15.4861113158081</v>
      </c>
      <c r="K22" s="11" t="n">
        <v>16.2087931058098</v>
      </c>
      <c r="L22" s="11" t="n">
        <v>18.0172093465266</v>
      </c>
      <c r="M22" s="11" t="n">
        <v>14.9080963382235</v>
      </c>
      <c r="N22" s="11" t="n">
        <v>7.96186376934351</v>
      </c>
      <c r="O22" s="11" t="n">
        <v>6.36046479715616</v>
      </c>
      <c r="P22" s="11" t="n">
        <v>7.05228750474409</v>
      </c>
      <c r="Q22" s="11" t="n">
        <v>7.4688138300499</v>
      </c>
      <c r="R22" s="11" t="n">
        <v>8.25870624154292</v>
      </c>
      <c r="S22" s="11" t="n">
        <v>7.36937772653388</v>
      </c>
      <c r="T22" s="11" t="n">
        <v>8.09555591302204</v>
      </c>
      <c r="U22" s="11" t="n">
        <v>8.88703175483168</v>
      </c>
      <c r="V22" s="11" t="n">
        <v>9.24213661121651</v>
      </c>
      <c r="W22" s="11" t="n">
        <v>9.58107153266835</v>
      </c>
      <c r="X22" s="11" t="n">
        <v>10.0020094196355</v>
      </c>
      <c r="Y22" s="11" t="n">
        <v>10.4979550302192</v>
      </c>
      <c r="Z22" s="11" t="n">
        <v>11.0654107151362</v>
      </c>
      <c r="AA22" s="11" t="n">
        <v>11.5161328830887</v>
      </c>
      <c r="AB22" s="11" t="n">
        <v>11.6114703501195</v>
      </c>
      <c r="AC22" s="11" t="n">
        <v>11.1356108294494</v>
      </c>
      <c r="AD22" s="11" t="n">
        <v>10.9498065093755</v>
      </c>
      <c r="AE22" s="11" t="n">
        <v>10.614142394623</v>
      </c>
      <c r="AF22" s="11" t="n">
        <v>10.121289044966</v>
      </c>
      <c r="AG22" s="11" t="n">
        <v>9.66952181906882</v>
      </c>
      <c r="AH22" s="11" t="n">
        <v>8.98580877911218</v>
      </c>
      <c r="AI22" s="11" t="n">
        <v>8.15976812106435</v>
      </c>
      <c r="AJ22" s="11" t="n">
        <v>7.58436627904264</v>
      </c>
      <c r="AK22" s="11" t="n">
        <v>7.06898863688572</v>
      </c>
      <c r="AL22" s="11" t="n">
        <v>6.59748890429982</v>
      </c>
      <c r="AM22" s="11" t="n">
        <v>6.14657126839515</v>
      </c>
      <c r="AN22" s="11" t="n">
        <v>5.78995641676736</v>
      </c>
      <c r="AO22" s="11" t="n">
        <v>5.45582110094931</v>
      </c>
      <c r="AP22" s="11" t="n">
        <v>5.13969410232909</v>
      </c>
      <c r="AQ22" s="11" t="n">
        <v>4.83421727365179</v>
      </c>
      <c r="AR22" s="11" t="n">
        <v>4.55598570157372</v>
      </c>
      <c r="AS22" s="11" t="n">
        <v>4.31470265813777</v>
      </c>
      <c r="AT22" s="11" t="n">
        <v>4.09884472060177</v>
      </c>
      <c r="AU22" s="11" t="n">
        <v>3.89091088317771</v>
      </c>
      <c r="AV22" s="11" t="n">
        <v>3.70734813175856</v>
      </c>
      <c r="AW22" s="11" t="n">
        <v>3.53638632023551</v>
      </c>
      <c r="AX22" s="11" t="n">
        <v>3.38044042697567</v>
      </c>
      <c r="AY22" s="11" t="n">
        <v>3.24624656805012</v>
      </c>
      <c r="AZ22" s="11" t="n">
        <v>3.14013667374679</v>
      </c>
      <c r="BA22" s="11" t="n">
        <v>3.06190005083167</v>
      </c>
      <c r="BB22" s="11" t="n">
        <v>3.0277117596006</v>
      </c>
      <c r="BC22" s="11" t="n">
        <v>3.01583177269943</v>
      </c>
      <c r="BD22" s="11" t="n">
        <v>3.01833912244435</v>
      </c>
      <c r="BE22" s="11" t="n">
        <v>3.03328730057938</v>
      </c>
      <c r="BF22" s="11" t="n">
        <v>3.05775648539493</v>
      </c>
      <c r="BG22" s="11" t="n">
        <v>3.08999621719718</v>
      </c>
      <c r="BH22" s="11" t="n">
        <v>3.12816469439176</v>
      </c>
      <c r="BI22" s="11" t="n">
        <v>3.16835087322069</v>
      </c>
      <c r="BJ22" s="11" t="n">
        <v>3.20835860053058</v>
      </c>
      <c r="BK22" s="11" t="n">
        <v>3.24634714066601</v>
      </c>
      <c r="BL22" s="11" t="n">
        <v>3.28209647921313</v>
      </c>
      <c r="BM22" s="11" t="n">
        <v>3.31774528016102</v>
      </c>
      <c r="BN22" s="11" t="n">
        <v>29.1295317927407</v>
      </c>
      <c r="BO22" s="11" t="n">
        <v>21.6946612371428</v>
      </c>
      <c r="BP22" s="11" t="n">
        <v>17.0105581207666</v>
      </c>
      <c r="BQ22" s="11" t="n">
        <v>15.1570700061554</v>
      </c>
    </row>
    <row r="23" customFormat="false" ht="13.8" hidden="false" customHeight="false" outlineLevel="0" collapsed="false">
      <c r="A23" s="11" t="s">
        <v>158</v>
      </c>
      <c r="B23" s="11" t="s">
        <v>140</v>
      </c>
      <c r="C23" s="11" t="s">
        <v>139</v>
      </c>
      <c r="D23" s="12"/>
      <c r="E23" s="11" t="n">
        <v>1.48366130882974</v>
      </c>
      <c r="F23" s="11" t="n">
        <v>1.24305334298279</v>
      </c>
      <c r="G23" s="11" t="n">
        <v>0.617640551647897</v>
      </c>
      <c r="H23" s="11" t="n">
        <v>0.538700846476154</v>
      </c>
      <c r="I23" s="11" t="n">
        <v>0.546409279966552</v>
      </c>
      <c r="J23" s="11" t="n">
        <v>0.533270281772293</v>
      </c>
      <c r="K23" s="11" t="n">
        <v>0.531928867885412</v>
      </c>
      <c r="L23" s="11" t="n">
        <v>0.446925644020109</v>
      </c>
      <c r="M23" s="11" t="n">
        <v>0.43528910732139</v>
      </c>
      <c r="N23" s="11" t="n">
        <v>0.412312802276656</v>
      </c>
      <c r="O23" s="11" t="n">
        <v>0.518621613064721</v>
      </c>
      <c r="P23" s="11" t="n">
        <v>0.432138729457178</v>
      </c>
      <c r="Q23" s="11" t="n">
        <v>0.364067786446409</v>
      </c>
      <c r="R23" s="11" t="n">
        <v>0.318513971049457</v>
      </c>
      <c r="S23" s="11" t="n">
        <v>0.402942811428177</v>
      </c>
      <c r="T23" s="11" t="n">
        <v>0.368307653921605</v>
      </c>
      <c r="U23" s="11" t="n">
        <v>0.369821205860997</v>
      </c>
      <c r="V23" s="11" t="n">
        <v>0.277694286963564</v>
      </c>
      <c r="W23" s="11" t="n">
        <v>0.255311612882481</v>
      </c>
      <c r="X23" s="11" t="n">
        <v>0.195240026958578</v>
      </c>
      <c r="Y23" s="11" t="n">
        <v>0.281496039558143</v>
      </c>
      <c r="Z23" s="11" t="n">
        <v>0.399303588048535</v>
      </c>
      <c r="AA23" s="11" t="n">
        <v>0.243138181819986</v>
      </c>
      <c r="AB23" s="11" t="n">
        <v>0.294217429839836</v>
      </c>
      <c r="AC23" s="11" t="n">
        <v>0.23782779605641</v>
      </c>
      <c r="AD23" s="11" t="n">
        <v>0.27442797543427</v>
      </c>
      <c r="AE23" s="11" t="n">
        <v>0.282656140525755</v>
      </c>
      <c r="AF23" s="11" t="n">
        <v>0.399670839674982</v>
      </c>
      <c r="AG23" s="11" t="n">
        <v>0.143010713300999</v>
      </c>
      <c r="AH23" s="11" t="n">
        <v>0.202358510131719</v>
      </c>
      <c r="AI23" s="11" t="n">
        <v>0.158297914028496</v>
      </c>
      <c r="AJ23" s="11" t="n">
        <v>0.194397699312559</v>
      </c>
      <c r="AK23" s="11" t="n">
        <v>0.151672562797158</v>
      </c>
      <c r="AL23" s="11" t="n">
        <v>0.145322964863698</v>
      </c>
      <c r="AM23" s="11" t="n">
        <v>0.157674757691205</v>
      </c>
      <c r="AN23" s="11" t="n">
        <v>0.157674757691205</v>
      </c>
      <c r="AO23" s="11" t="n">
        <v>0.157674757691205</v>
      </c>
      <c r="AP23" s="11" t="n">
        <v>0.157674757691205</v>
      </c>
      <c r="AQ23" s="11" t="n">
        <v>0.157674757691205</v>
      </c>
      <c r="AR23" s="11" t="n">
        <v>0.157674757691205</v>
      </c>
      <c r="AS23" s="11" t="n">
        <v>0.157674757691205</v>
      </c>
      <c r="AT23" s="11" t="n">
        <v>0.157674757691205</v>
      </c>
      <c r="AU23" s="11" t="n">
        <v>0.157674757691205</v>
      </c>
      <c r="AV23" s="11" t="n">
        <v>0.157674757691205</v>
      </c>
      <c r="AW23" s="11" t="n">
        <v>0.157674757691205</v>
      </c>
      <c r="AX23" s="11" t="n">
        <v>0.157674757691205</v>
      </c>
      <c r="AY23" s="11" t="n">
        <v>0.157674757691205</v>
      </c>
      <c r="AZ23" s="11" t="n">
        <v>0.157674757691205</v>
      </c>
      <c r="BA23" s="11" t="n">
        <v>0.157674757691205</v>
      </c>
      <c r="BB23" s="11" t="n">
        <v>0.157674757691205</v>
      </c>
      <c r="BC23" s="11" t="n">
        <v>0.157674757691205</v>
      </c>
      <c r="BD23" s="11" t="n">
        <v>0.157674757691205</v>
      </c>
      <c r="BE23" s="11" t="n">
        <v>0.157674757691205</v>
      </c>
      <c r="BF23" s="11" t="n">
        <v>0.157674757691205</v>
      </c>
      <c r="BG23" s="11" t="n">
        <v>0.157674757691205</v>
      </c>
      <c r="BH23" s="11" t="n">
        <v>0.157674757691205</v>
      </c>
      <c r="BI23" s="11" t="n">
        <v>0.157674757691205</v>
      </c>
      <c r="BJ23" s="11" t="n">
        <v>0.157674757691205</v>
      </c>
      <c r="BK23" s="11" t="n">
        <v>0.157674757691205</v>
      </c>
      <c r="BL23" s="11" t="n">
        <v>0.157674757691205</v>
      </c>
      <c r="BM23" s="11" t="n">
        <v>0.157674757691205</v>
      </c>
      <c r="BN23" s="11" t="n">
        <v>0.776021995628519</v>
      </c>
      <c r="BO23" s="11" t="n">
        <v>0.788373788456025</v>
      </c>
      <c r="BP23" s="11" t="n">
        <v>0.788373788456025</v>
      </c>
      <c r="BQ23" s="11" t="n">
        <v>0.788373788456025</v>
      </c>
    </row>
    <row r="24" customFormat="false" ht="13.8" hidden="false" customHeight="false" outlineLevel="0" collapsed="false">
      <c r="A24" s="11" t="s">
        <v>159</v>
      </c>
      <c r="B24" s="11" t="s">
        <v>140</v>
      </c>
      <c r="C24" s="11" t="s">
        <v>139</v>
      </c>
      <c r="D24" s="12"/>
      <c r="E24" s="11" t="n">
        <v>1.24291983149389</v>
      </c>
      <c r="F24" s="11" t="n">
        <v>1.3033380650546</v>
      </c>
      <c r="G24" s="11" t="n">
        <v>1.36957209756806</v>
      </c>
      <c r="H24" s="11" t="n">
        <v>1.19822362295174</v>
      </c>
      <c r="I24" s="11" t="n">
        <v>1.24424765770564</v>
      </c>
      <c r="J24" s="11" t="n">
        <v>1.29099147844553</v>
      </c>
      <c r="K24" s="11" t="n">
        <v>1.33841903033195</v>
      </c>
      <c r="L24" s="11" t="n">
        <v>1.31179173639896</v>
      </c>
      <c r="M24" s="11" t="n">
        <v>1.36070282137954</v>
      </c>
      <c r="N24" s="11" t="n">
        <v>1.53364172956695</v>
      </c>
      <c r="O24" s="11" t="n">
        <v>1.86203114027847</v>
      </c>
      <c r="P24" s="11" t="n">
        <v>1.47584681936645</v>
      </c>
      <c r="Q24" s="11" t="n">
        <v>1.51476662209972</v>
      </c>
      <c r="R24" s="11" t="n">
        <v>1.33398288885553</v>
      </c>
      <c r="S24" s="11" t="n">
        <v>1.12237909087011</v>
      </c>
      <c r="T24" s="11" t="n">
        <v>1.05689768072549</v>
      </c>
      <c r="U24" s="11" t="n">
        <v>0.875645821434384</v>
      </c>
      <c r="V24" s="11" t="n">
        <v>0.8315868666216</v>
      </c>
      <c r="W24" s="11" t="n">
        <v>0.670292526306523</v>
      </c>
      <c r="X24" s="11" t="n">
        <v>0.573575637388327</v>
      </c>
      <c r="Y24" s="11" t="n">
        <v>0.677275333999962</v>
      </c>
      <c r="Z24" s="11" t="n">
        <v>0.566450337664012</v>
      </c>
      <c r="AA24" s="11" t="n">
        <v>0.542274811410857</v>
      </c>
      <c r="AB24" s="11" t="n">
        <v>0.478647231455337</v>
      </c>
      <c r="AC24" s="11" t="n">
        <v>0.444232215587311</v>
      </c>
      <c r="AD24" s="11" t="n">
        <v>0.426418736992624</v>
      </c>
      <c r="AE24" s="11" t="n">
        <v>0.458386532676318</v>
      </c>
      <c r="AF24" s="11" t="n">
        <v>0.460093295564997</v>
      </c>
      <c r="AG24" s="11" t="n">
        <v>0.565037427403676</v>
      </c>
      <c r="AH24" s="11" t="n">
        <v>0.497196763554689</v>
      </c>
      <c r="AI24" s="11" t="n">
        <v>0.425406162786779</v>
      </c>
      <c r="AJ24" s="11" t="n">
        <v>0.38749956929647</v>
      </c>
      <c r="AK24" s="11" t="n">
        <v>0.333442729385777</v>
      </c>
      <c r="AL24" s="11" t="n">
        <v>0.301791676439176</v>
      </c>
      <c r="AM24" s="11" t="n">
        <v>0.307854862676676</v>
      </c>
      <c r="AN24" s="11" t="n">
        <v>0.314290204270114</v>
      </c>
      <c r="AO24" s="11" t="n">
        <v>0.320989403465887</v>
      </c>
      <c r="AP24" s="11" t="n">
        <v>0.327856082641555</v>
      </c>
      <c r="AQ24" s="11" t="n">
        <v>0.334894428796614</v>
      </c>
      <c r="AR24" s="11" t="n">
        <v>0.34210873360555</v>
      </c>
      <c r="AS24" s="11" t="n">
        <v>0.349503396034709</v>
      </c>
      <c r="AT24" s="11" t="n">
        <v>0.357082925024598</v>
      </c>
      <c r="AU24" s="11" t="n">
        <v>0.364851942239233</v>
      </c>
      <c r="AV24" s="11" t="n">
        <v>0.372815184884235</v>
      </c>
      <c r="AW24" s="11" t="n">
        <v>0.380977508595361</v>
      </c>
      <c r="AX24" s="11" t="n">
        <v>0.389343890399266</v>
      </c>
      <c r="AY24" s="11" t="n">
        <v>0.389343890399266</v>
      </c>
      <c r="AZ24" s="11" t="n">
        <v>0.389343890399266</v>
      </c>
      <c r="BA24" s="11" t="n">
        <v>0.389343890399266</v>
      </c>
      <c r="BB24" s="11" t="n">
        <v>0.389343890399266</v>
      </c>
      <c r="BC24" s="11" t="n">
        <v>0.389343890399266</v>
      </c>
      <c r="BD24" s="11" t="n">
        <v>0.389343890399266</v>
      </c>
      <c r="BE24" s="11" t="n">
        <v>0.389343890399266</v>
      </c>
      <c r="BF24" s="11" t="n">
        <v>0.389343890399266</v>
      </c>
      <c r="BG24" s="11" t="n">
        <v>0.389343890399266</v>
      </c>
      <c r="BH24" s="11" t="n">
        <v>0.389343890399266</v>
      </c>
      <c r="BI24" s="11" t="n">
        <v>0.389343890399266</v>
      </c>
      <c r="BJ24" s="11" t="n">
        <v>0.389343890399266</v>
      </c>
      <c r="BK24" s="11" t="n">
        <v>0.389343890399266</v>
      </c>
      <c r="BL24" s="11" t="n">
        <v>0.389343890399266</v>
      </c>
      <c r="BM24" s="11" t="n">
        <v>0.389343890399266</v>
      </c>
      <c r="BN24" s="11" t="n">
        <v>1.57278222949341</v>
      </c>
      <c r="BO24" s="11" t="n">
        <v>1.7484414257007</v>
      </c>
      <c r="BP24" s="11" t="n">
        <v>1.92182436467739</v>
      </c>
      <c r="BQ24" s="11" t="n">
        <v>1.94671945199633</v>
      </c>
    </row>
    <row r="25" customFormat="false" ht="13.8" hidden="false" customHeight="false" outlineLevel="0" collapsed="false">
      <c r="A25" s="11" t="s">
        <v>160</v>
      </c>
      <c r="B25" s="11" t="s">
        <v>140</v>
      </c>
      <c r="C25" s="11" t="s">
        <v>139</v>
      </c>
      <c r="D25" s="12"/>
      <c r="E25" s="11" t="n">
        <v>0.00010985408033557</v>
      </c>
      <c r="F25" s="11" t="n">
        <v>0.000130122158157483</v>
      </c>
      <c r="G25" s="11" t="n">
        <v>0.000154129696337539</v>
      </c>
      <c r="H25" s="11" t="n">
        <v>0.000182566625311815</v>
      </c>
      <c r="I25" s="11" t="n">
        <v>0.000216250167681844</v>
      </c>
      <c r="J25" s="11" t="n">
        <v>0.000256148323619145</v>
      </c>
      <c r="K25" s="11" t="n">
        <v>0.000303407689326877</v>
      </c>
      <c r="L25" s="11" t="n">
        <v>0.000359386408007685</v>
      </c>
      <c r="M25" s="11" t="n">
        <v>0.000413294369208839</v>
      </c>
      <c r="N25" s="11" t="n">
        <v>0.000475288524590164</v>
      </c>
      <c r="O25" s="11" t="n">
        <v>0.000546581803278689</v>
      </c>
      <c r="P25" s="11" t="n">
        <v>0.0003334149</v>
      </c>
      <c r="Q25" s="11" t="n">
        <v>0.000315667065</v>
      </c>
      <c r="R25" s="11" t="n">
        <v>0.000278092730755996</v>
      </c>
      <c r="S25" s="11" t="n">
        <v>0.000242880630310798</v>
      </c>
      <c r="T25" s="11" t="n">
        <v>0.000210030763664407</v>
      </c>
      <c r="U25" s="11" t="n">
        <v>0.000179543130816822</v>
      </c>
      <c r="V25" s="11" t="n">
        <v>0.000151417731768044</v>
      </c>
      <c r="W25" s="11" t="n">
        <v>0.000125654566518072</v>
      </c>
      <c r="X25" s="11" t="n">
        <v>0.000102253635066908</v>
      </c>
      <c r="Y25" s="11" t="n">
        <v>8.12149374145491E-005</v>
      </c>
      <c r="Z25" s="11" t="n">
        <v>7.29160376097755E-005</v>
      </c>
      <c r="AA25" s="11" t="n">
        <v>6.46171378050017E-005</v>
      </c>
      <c r="AB25" s="11" t="n">
        <v>5.63182380002279E-005</v>
      </c>
      <c r="AC25" s="11" t="n">
        <v>4.80193381954541E-005</v>
      </c>
      <c r="AD25" s="11" t="n">
        <v>3.97204383906805E-005</v>
      </c>
      <c r="AE25" s="11" t="n">
        <v>3.14215385859067E-005</v>
      </c>
      <c r="AF25" s="11" t="n">
        <v>2.65092764889187E-005</v>
      </c>
      <c r="AG25" s="11" t="n">
        <v>4.25164753911731E-005</v>
      </c>
      <c r="AH25" s="11" t="n">
        <v>4.67511840954731E-005</v>
      </c>
      <c r="AI25" s="11" t="n">
        <v>5.84389801193415E-005</v>
      </c>
      <c r="AJ25" s="11" t="n">
        <v>6.34359363904156E-005</v>
      </c>
      <c r="AK25" s="11" t="n">
        <v>6.34359363904156E-005</v>
      </c>
      <c r="AL25" s="11" t="n">
        <v>6.34359363904156E-005</v>
      </c>
      <c r="AM25" s="11" t="n">
        <v>6.34359363904156E-005</v>
      </c>
      <c r="AN25" s="11" t="n">
        <v>6.34359363904156E-005</v>
      </c>
      <c r="AO25" s="11" t="n">
        <v>6.34359363904156E-005</v>
      </c>
      <c r="AP25" s="11" t="n">
        <v>6.34359363904156E-005</v>
      </c>
      <c r="AQ25" s="11" t="n">
        <v>6.34359363904156E-005</v>
      </c>
      <c r="AR25" s="11" t="n">
        <v>6.34359363904156E-005</v>
      </c>
      <c r="AS25" s="11" t="n">
        <v>6.34359363904156E-005</v>
      </c>
      <c r="AT25" s="11" t="n">
        <v>6.34359363904156E-005</v>
      </c>
      <c r="AU25" s="11" t="n">
        <v>6.34359363904156E-005</v>
      </c>
      <c r="AV25" s="11" t="n">
        <v>6.34359363904156E-005</v>
      </c>
      <c r="AW25" s="11" t="n">
        <v>6.34359363904156E-005</v>
      </c>
      <c r="AX25" s="11" t="n">
        <v>6.34359363904156E-005</v>
      </c>
      <c r="AY25" s="11" t="n">
        <v>6.34359363904156E-005</v>
      </c>
      <c r="AZ25" s="11" t="n">
        <v>6.34359363904156E-005</v>
      </c>
      <c r="BA25" s="11" t="n">
        <v>6.34359363904156E-005</v>
      </c>
      <c r="BB25" s="11" t="n">
        <v>6.34359363904156E-005</v>
      </c>
      <c r="BC25" s="11" t="n">
        <v>6.34359363904156E-005</v>
      </c>
      <c r="BD25" s="11" t="n">
        <v>6.34359363904156E-005</v>
      </c>
      <c r="BE25" s="11" t="n">
        <v>6.34359363904156E-005</v>
      </c>
      <c r="BF25" s="11" t="n">
        <v>6.34359363904156E-005</v>
      </c>
      <c r="BG25" s="11" t="n">
        <v>6.34359363904156E-005</v>
      </c>
      <c r="BH25" s="11" t="n">
        <v>6.34359363904156E-005</v>
      </c>
      <c r="BI25" s="11" t="n">
        <v>6.34359363904156E-005</v>
      </c>
      <c r="BJ25" s="11" t="n">
        <v>6.34359363904156E-005</v>
      </c>
      <c r="BK25" s="11" t="n">
        <v>6.34359363904156E-005</v>
      </c>
      <c r="BL25" s="11" t="n">
        <v>6.34359363904156E-005</v>
      </c>
      <c r="BM25" s="11" t="n">
        <v>6.34359363904156E-005</v>
      </c>
      <c r="BN25" s="11" t="n">
        <v>0.000317179681952078</v>
      </c>
      <c r="BO25" s="11" t="n">
        <v>0.000317179681952078</v>
      </c>
      <c r="BP25" s="11" t="n">
        <v>0.000317179681952078</v>
      </c>
      <c r="BQ25" s="11" t="n">
        <v>0.000317179681952078</v>
      </c>
    </row>
    <row r="26" customFormat="false" ht="35" hidden="false" customHeight="true" outlineLevel="0" collapsed="false">
      <c r="A26" s="11" t="s">
        <v>154</v>
      </c>
      <c r="B26" s="11" t="s">
        <v>144</v>
      </c>
      <c r="C26" s="11" t="s">
        <v>139</v>
      </c>
      <c r="D26" s="12"/>
      <c r="E26" s="11" t="n">
        <v>5.44940363635584</v>
      </c>
      <c r="F26" s="11" t="n">
        <v>5.68701246277331</v>
      </c>
      <c r="G26" s="11" t="n">
        <v>5.71920598282532</v>
      </c>
      <c r="H26" s="11" t="n">
        <v>5.2875915769866</v>
      </c>
      <c r="I26" s="11" t="n">
        <v>5.33763261740122</v>
      </c>
      <c r="J26" s="11" t="n">
        <v>5.45866653640034</v>
      </c>
      <c r="K26" s="11" t="n">
        <v>5.97611113387582</v>
      </c>
      <c r="L26" s="11" t="n">
        <v>5.62268652692908</v>
      </c>
      <c r="M26" s="11" t="n">
        <v>5.41256590715534</v>
      </c>
      <c r="N26" s="11" t="n">
        <v>5.8001330289396</v>
      </c>
      <c r="O26" s="11" t="n">
        <v>5.55338499230605</v>
      </c>
      <c r="P26" s="11" t="n">
        <v>5.50678399465085</v>
      </c>
      <c r="Q26" s="11" t="n">
        <v>5.66600532498298</v>
      </c>
      <c r="R26" s="11" t="n">
        <v>5.90893316494396</v>
      </c>
      <c r="S26" s="11" t="n">
        <v>6.65955246564852</v>
      </c>
      <c r="T26" s="11" t="n">
        <v>7.08493074935612</v>
      </c>
      <c r="U26" s="11" t="n">
        <v>7.0115030678355</v>
      </c>
      <c r="V26" s="11" t="n">
        <v>7.06485884074387</v>
      </c>
      <c r="W26" s="11" t="n">
        <v>7.82037018231285</v>
      </c>
      <c r="X26" s="11" t="n">
        <v>7.70058047003674</v>
      </c>
      <c r="Y26" s="11" t="n">
        <v>7.66687088339145</v>
      </c>
      <c r="Z26" s="11" t="n">
        <v>7.02318509566862</v>
      </c>
      <c r="AA26" s="11" t="n">
        <v>7.68402569966352</v>
      </c>
      <c r="AB26" s="11" t="n">
        <v>7.61142719246031</v>
      </c>
      <c r="AC26" s="11" t="n">
        <v>6.73140157769509</v>
      </c>
      <c r="AD26" s="11" t="n">
        <v>7.8718680109183</v>
      </c>
      <c r="AE26" s="11" t="n">
        <v>7.71432672853328</v>
      </c>
      <c r="AF26" s="11" t="n">
        <v>7.32404050581566</v>
      </c>
      <c r="AG26" s="11" t="n">
        <v>6.1833552997916</v>
      </c>
      <c r="AH26" s="11" t="n">
        <v>6.59339737448675</v>
      </c>
      <c r="AI26" s="11" t="n">
        <v>6.53144775202758</v>
      </c>
      <c r="AJ26" s="11" t="n">
        <v>6.74798844831816</v>
      </c>
      <c r="AK26" s="11" t="n">
        <v>6.34232573353093</v>
      </c>
      <c r="AL26" s="11" t="n">
        <v>6.89118189268432</v>
      </c>
      <c r="AM26" s="11" t="n">
        <v>6.67777514858777</v>
      </c>
      <c r="AN26" s="11" t="n">
        <v>6.69604631172115</v>
      </c>
      <c r="AO26" s="11" t="n">
        <v>6.7012824409141</v>
      </c>
      <c r="AP26" s="11" t="n">
        <v>6.70945172040169</v>
      </c>
      <c r="AQ26" s="11" t="n">
        <v>6.72337572771186</v>
      </c>
      <c r="AR26" s="11" t="n">
        <v>6.73520710454909</v>
      </c>
      <c r="AS26" s="11" t="n">
        <v>6.74960357000588</v>
      </c>
      <c r="AT26" s="11" t="n">
        <v>6.7594142142447</v>
      </c>
      <c r="AU26" s="11" t="n">
        <v>6.76986915834601</v>
      </c>
      <c r="AV26" s="11" t="n">
        <v>6.78850040331447</v>
      </c>
      <c r="AW26" s="11" t="n">
        <v>6.81671201948411</v>
      </c>
      <c r="AX26" s="11" t="n">
        <v>6.86239964997413</v>
      </c>
      <c r="AY26" s="11" t="n">
        <v>6.88729179953262</v>
      </c>
      <c r="AZ26" s="11" t="n">
        <v>6.91231898488265</v>
      </c>
      <c r="BA26" s="11" t="n">
        <v>6.93073351303104</v>
      </c>
      <c r="BB26" s="11" t="n">
        <v>6.9477377978547</v>
      </c>
      <c r="BC26" s="11" t="n">
        <v>6.97313857599452</v>
      </c>
      <c r="BD26" s="11" t="n">
        <v>7.02839406716291</v>
      </c>
      <c r="BE26" s="11" t="n">
        <v>7.05987457957448</v>
      </c>
      <c r="BF26" s="11" t="n">
        <v>7.06128069049597</v>
      </c>
      <c r="BG26" s="11" t="n">
        <v>7.07323998334134</v>
      </c>
      <c r="BH26" s="11" t="n">
        <v>7.07474815797284</v>
      </c>
      <c r="BI26" s="11" t="n">
        <v>7.07639505019463</v>
      </c>
      <c r="BJ26" s="11" t="n">
        <v>7.08202533886613</v>
      </c>
      <c r="BK26" s="11" t="n">
        <v>7.08222000347974</v>
      </c>
      <c r="BL26" s="11" t="n">
        <v>7.08244357729375</v>
      </c>
      <c r="BM26" s="11" t="n">
        <v>7.08264878647207</v>
      </c>
      <c r="BN26" s="11" t="n">
        <v>33.675737514309</v>
      </c>
      <c r="BO26" s="11" t="n">
        <v>33.7374697748575</v>
      </c>
      <c r="BP26" s="11" t="n">
        <v>34.267222857188</v>
      </c>
      <c r="BQ26" s="11" t="n">
        <v>34.9398785336176</v>
      </c>
    </row>
    <row r="27" customFormat="false" ht="13.8" hidden="false" customHeight="false" outlineLevel="0" collapsed="false">
      <c r="A27" s="11" t="s">
        <v>155</v>
      </c>
      <c r="B27" s="11" t="s">
        <v>144</v>
      </c>
      <c r="C27" s="11" t="s">
        <v>139</v>
      </c>
      <c r="D27" s="12"/>
      <c r="E27" s="11" t="n">
        <v>32.5763698351354</v>
      </c>
      <c r="F27" s="11" t="n">
        <v>32.1587644649806</v>
      </c>
      <c r="G27" s="11" t="n">
        <v>32.3429075604532</v>
      </c>
      <c r="H27" s="11" t="n">
        <v>32.2867215516015</v>
      </c>
      <c r="I27" s="11" t="n">
        <v>32.4376625870692</v>
      </c>
      <c r="J27" s="11" t="n">
        <v>32.2069060308039</v>
      </c>
      <c r="K27" s="11" t="n">
        <v>32.8262420298166</v>
      </c>
      <c r="L27" s="11" t="n">
        <v>32.5783502819476</v>
      </c>
      <c r="M27" s="11" t="n">
        <v>32.6734220770182</v>
      </c>
      <c r="N27" s="11" t="n">
        <v>32.5130465142707</v>
      </c>
      <c r="O27" s="11" t="n">
        <v>31.5208846643531</v>
      </c>
      <c r="P27" s="11" t="n">
        <v>29.9473573096136</v>
      </c>
      <c r="Q27" s="11" t="n">
        <v>29.4891220094733</v>
      </c>
      <c r="R27" s="11" t="n">
        <v>29.7648113387233</v>
      </c>
      <c r="S27" s="11" t="n">
        <v>30.0129038331227</v>
      </c>
      <c r="T27" s="11" t="n">
        <v>30.0337892709514</v>
      </c>
      <c r="U27" s="11" t="n">
        <v>29.426456107589</v>
      </c>
      <c r="V27" s="11" t="n">
        <v>29.2328416879712</v>
      </c>
      <c r="W27" s="11" t="n">
        <v>28.2873920663691</v>
      </c>
      <c r="X27" s="11" t="n">
        <v>27.9825945459786</v>
      </c>
      <c r="Y27" s="11" t="n">
        <v>28.2012553827081</v>
      </c>
      <c r="Z27" s="11" t="n">
        <v>28.0085727181442</v>
      </c>
      <c r="AA27" s="11" t="n">
        <v>27.9141821717085</v>
      </c>
      <c r="AB27" s="11" t="n">
        <v>27.7623984894597</v>
      </c>
      <c r="AC27" s="11" t="n">
        <v>28.4920663833579</v>
      </c>
      <c r="AD27" s="11" t="n">
        <v>28.6071141080655</v>
      </c>
      <c r="AE27" s="11" t="n">
        <v>28.4982253089931</v>
      </c>
      <c r="AF27" s="11" t="n">
        <v>28.6037862797924</v>
      </c>
      <c r="AG27" s="11" t="n">
        <v>28.0592009791577</v>
      </c>
      <c r="AH27" s="11" t="n">
        <v>28.1018252656242</v>
      </c>
      <c r="AI27" s="11" t="n">
        <v>27.7333446781784</v>
      </c>
      <c r="AJ27" s="11" t="n">
        <v>27.8900628145382</v>
      </c>
      <c r="AK27" s="11" t="n">
        <v>27.7847764250513</v>
      </c>
      <c r="AL27" s="11" t="n">
        <v>27.203458143358</v>
      </c>
      <c r="AM27" s="11" t="n">
        <v>26.3946164838535</v>
      </c>
      <c r="AN27" s="11" t="n">
        <v>25.9506630864073</v>
      </c>
      <c r="AO27" s="11" t="n">
        <v>25.7575360162502</v>
      </c>
      <c r="AP27" s="11" t="n">
        <v>25.6465872982293</v>
      </c>
      <c r="AQ27" s="11" t="n">
        <v>25.5553179164972</v>
      </c>
      <c r="AR27" s="11" t="n">
        <v>25.4540750988125</v>
      </c>
      <c r="AS27" s="11" t="n">
        <v>25.320701915164</v>
      </c>
      <c r="AT27" s="11" t="n">
        <v>25.1585746132965</v>
      </c>
      <c r="AU27" s="11" t="n">
        <v>24.9629254417806</v>
      </c>
      <c r="AV27" s="11" t="n">
        <v>24.7411781060057</v>
      </c>
      <c r="AW27" s="11" t="n">
        <v>24.497293844699</v>
      </c>
      <c r="AX27" s="11" t="n">
        <v>24.2353431684828</v>
      </c>
      <c r="AY27" s="11" t="n">
        <v>23.9578246651727</v>
      </c>
      <c r="AZ27" s="11" t="n">
        <v>23.666950856919</v>
      </c>
      <c r="BA27" s="11" t="n">
        <v>23.3667778438689</v>
      </c>
      <c r="BB27" s="11" t="n">
        <v>23.0588487529253</v>
      </c>
      <c r="BC27" s="11" t="n">
        <v>22.7461725089146</v>
      </c>
      <c r="BD27" s="11" t="n">
        <v>22.4274252692511</v>
      </c>
      <c r="BE27" s="11" t="n">
        <v>22.1042283036135</v>
      </c>
      <c r="BF27" s="11" t="n">
        <v>21.7764693493121</v>
      </c>
      <c r="BG27" s="11" t="n">
        <v>21.446319061848</v>
      </c>
      <c r="BH27" s="11" t="n">
        <v>21.1143895528754</v>
      </c>
      <c r="BI27" s="11" t="n">
        <v>20.7810638889986</v>
      </c>
      <c r="BJ27" s="11" t="n">
        <v>20.4467186722763</v>
      </c>
      <c r="BK27" s="11" t="n">
        <v>20.1114800604422</v>
      </c>
      <c r="BL27" s="11" t="n">
        <v>19.775632321829</v>
      </c>
      <c r="BM27" s="11" t="n">
        <v>19.4391905593281</v>
      </c>
      <c r="BN27" s="11" t="n">
        <v>130.952861028098</v>
      </c>
      <c r="BO27" s="11" t="n">
        <v>126.451594985551</v>
      </c>
      <c r="BP27" s="11" t="n">
        <v>121.098590641279</v>
      </c>
      <c r="BQ27" s="11" t="n">
        <v>113.703452678573</v>
      </c>
    </row>
    <row r="28" customFormat="false" ht="13.8" hidden="false" customHeight="false" outlineLevel="0" collapsed="false">
      <c r="A28" s="11" t="s">
        <v>156</v>
      </c>
      <c r="B28" s="11" t="s">
        <v>144</v>
      </c>
      <c r="C28" s="11" t="s">
        <v>139</v>
      </c>
      <c r="D28" s="12"/>
      <c r="E28" s="11" t="n">
        <v>16.3728090246472</v>
      </c>
      <c r="F28" s="11" t="n">
        <v>16.3652204738222</v>
      </c>
      <c r="G28" s="11" t="n">
        <v>15.7880323748618</v>
      </c>
      <c r="H28" s="11" t="n">
        <v>15.3872752709718</v>
      </c>
      <c r="I28" s="11" t="n">
        <v>15.9578378738726</v>
      </c>
      <c r="J28" s="11" t="n">
        <v>16.0073151624587</v>
      </c>
      <c r="K28" s="11" t="n">
        <v>16.2385566670363</v>
      </c>
      <c r="L28" s="11" t="n">
        <v>16.4227129027924</v>
      </c>
      <c r="M28" s="11" t="n">
        <v>16.2079933627154</v>
      </c>
      <c r="N28" s="11" t="n">
        <v>16.2277371694367</v>
      </c>
      <c r="O28" s="11" t="n">
        <v>15.5059070589611</v>
      </c>
      <c r="P28" s="11" t="n">
        <v>14.9262809717383</v>
      </c>
      <c r="Q28" s="11" t="n">
        <v>14.9166492139828</v>
      </c>
      <c r="R28" s="11" t="n">
        <v>14.8411843098522</v>
      </c>
      <c r="S28" s="11" t="n">
        <v>14.6249013723467</v>
      </c>
      <c r="T28" s="11" t="n">
        <v>14.319878479678</v>
      </c>
      <c r="U28" s="11" t="n">
        <v>13.9484125589318</v>
      </c>
      <c r="V28" s="11" t="n">
        <v>13.6898865319666</v>
      </c>
      <c r="W28" s="11" t="n">
        <v>13.5903470722667</v>
      </c>
      <c r="X28" s="11" t="n">
        <v>13.5319011034865</v>
      </c>
      <c r="Y28" s="11" t="n">
        <v>13.7591024678466</v>
      </c>
      <c r="Z28" s="11" t="n">
        <v>13.7877731979964</v>
      </c>
      <c r="AA28" s="11" t="n">
        <v>13.6595715469706</v>
      </c>
      <c r="AB28" s="11" t="n">
        <v>13.7111904939868</v>
      </c>
      <c r="AC28" s="11" t="n">
        <v>14.2109240717553</v>
      </c>
      <c r="AD28" s="11" t="n">
        <v>14.1380536664966</v>
      </c>
      <c r="AE28" s="11" t="n">
        <v>13.813109346583</v>
      </c>
      <c r="AF28" s="11" t="n">
        <v>14.0170958536443</v>
      </c>
      <c r="AG28" s="11" t="n">
        <v>13.8566444133239</v>
      </c>
      <c r="AH28" s="11" t="n">
        <v>13.948510664827</v>
      </c>
      <c r="AI28" s="11" t="n">
        <v>13.1569075442857</v>
      </c>
      <c r="AJ28" s="11" t="n">
        <v>13.4785634125849</v>
      </c>
      <c r="AK28" s="11" t="n">
        <v>12.7290815643072</v>
      </c>
      <c r="AL28" s="11" t="n">
        <v>12.5191024192604</v>
      </c>
      <c r="AM28" s="11" t="n">
        <v>12.5045953938355</v>
      </c>
      <c r="AN28" s="11" t="n">
        <v>12.509855969784</v>
      </c>
      <c r="AO28" s="11" t="n">
        <v>12.5217901091834</v>
      </c>
      <c r="AP28" s="11" t="n">
        <v>12.5376828555556</v>
      </c>
      <c r="AQ28" s="11" t="n">
        <v>12.554157734406</v>
      </c>
      <c r="AR28" s="11" t="n">
        <v>12.5678684965442</v>
      </c>
      <c r="AS28" s="11" t="n">
        <v>12.5756416332501</v>
      </c>
      <c r="AT28" s="11" t="n">
        <v>12.5570215325553</v>
      </c>
      <c r="AU28" s="11" t="n">
        <v>12.5324913014387</v>
      </c>
      <c r="AV28" s="11" t="n">
        <v>12.5034970082267</v>
      </c>
      <c r="AW28" s="11" t="n">
        <v>12.4703259903931</v>
      </c>
      <c r="AX28" s="11" t="n">
        <v>12.433896680889</v>
      </c>
      <c r="AY28" s="11" t="n">
        <v>12.3919114799474</v>
      </c>
      <c r="AZ28" s="11" t="n">
        <v>12.3474121594837</v>
      </c>
      <c r="BA28" s="11" t="n">
        <v>12.3011580349169</v>
      </c>
      <c r="BB28" s="11" t="n">
        <v>12.2534032736032</v>
      </c>
      <c r="BC28" s="11" t="n">
        <v>12.2046053471626</v>
      </c>
      <c r="BD28" s="11" t="n">
        <v>12.1545004529808</v>
      </c>
      <c r="BE28" s="11" t="n">
        <v>12.1036019512246</v>
      </c>
      <c r="BF28" s="11" t="n">
        <v>12.0518454013948</v>
      </c>
      <c r="BG28" s="11" t="n">
        <v>11.9995629205948</v>
      </c>
      <c r="BH28" s="11" t="n">
        <v>11.9468725162191</v>
      </c>
      <c r="BI28" s="11" t="n">
        <v>11.8937910989008</v>
      </c>
      <c r="BJ28" s="11" t="n">
        <v>11.8404039203883</v>
      </c>
      <c r="BK28" s="11" t="n">
        <v>11.7867386860474</v>
      </c>
      <c r="BL28" s="11" t="n">
        <v>11.7328487889792</v>
      </c>
      <c r="BM28" s="11" t="n">
        <v>11.6787173875273</v>
      </c>
      <c r="BN28" s="11" t="n">
        <v>62.5930267476189</v>
      </c>
      <c r="BO28" s="11" t="n">
        <v>62.7871806981943</v>
      </c>
      <c r="BP28" s="11" t="n">
        <v>62.1470433189399</v>
      </c>
      <c r="BQ28" s="11" t="n">
        <v>61.0172690598881</v>
      </c>
    </row>
    <row r="29" customFormat="false" ht="35" hidden="false" customHeight="true" outlineLevel="0" collapsed="false">
      <c r="A29" s="11" t="s">
        <v>154</v>
      </c>
      <c r="B29" s="11" t="s">
        <v>145</v>
      </c>
      <c r="C29" s="11" t="s">
        <v>139</v>
      </c>
      <c r="D29" s="12"/>
      <c r="E29" s="11" t="n">
        <v>107.07845479733</v>
      </c>
      <c r="F29" s="11" t="n">
        <v>118.641683501751</v>
      </c>
      <c r="G29" s="11" t="n">
        <v>115.433375074879</v>
      </c>
      <c r="H29" s="11" t="n">
        <v>118.956195366105</v>
      </c>
      <c r="I29" s="11" t="n">
        <v>114.082901792587</v>
      </c>
      <c r="J29" s="11" t="n">
        <v>110.117596426792</v>
      </c>
      <c r="K29" s="11" t="n">
        <v>123.143498697836</v>
      </c>
      <c r="L29" s="11" t="n">
        <v>113.888099909232</v>
      </c>
      <c r="M29" s="11" t="n">
        <v>115.140000587187</v>
      </c>
      <c r="N29" s="11" t="n">
        <v>116.276237246738</v>
      </c>
      <c r="O29" s="11" t="n">
        <v>115.864794274439</v>
      </c>
      <c r="P29" s="11" t="n">
        <v>118.75146040655</v>
      </c>
      <c r="Q29" s="11" t="n">
        <v>110.790892812731</v>
      </c>
      <c r="R29" s="11" t="n">
        <v>111.787108868616</v>
      </c>
      <c r="S29" s="11" t="n">
        <v>114.094474328226</v>
      </c>
      <c r="T29" s="11" t="n">
        <v>109.991180815956</v>
      </c>
      <c r="U29" s="11" t="n">
        <v>104.977068137543</v>
      </c>
      <c r="V29" s="11" t="n">
        <v>99.9085036422066</v>
      </c>
      <c r="W29" s="11" t="n">
        <v>104.604366458502</v>
      </c>
      <c r="X29" s="11" t="n">
        <v>97.8918971269506</v>
      </c>
      <c r="Y29" s="11" t="n">
        <v>108.401445160669</v>
      </c>
      <c r="Z29" s="11" t="n">
        <v>88.0639044603151</v>
      </c>
      <c r="AA29" s="11" t="n">
        <v>97.293262665304</v>
      </c>
      <c r="AB29" s="11" t="n">
        <v>98.4694304964185</v>
      </c>
      <c r="AC29" s="11" t="n">
        <v>83.5624699473224</v>
      </c>
      <c r="AD29" s="11" t="n">
        <v>85.919981264987</v>
      </c>
      <c r="AE29" s="11" t="n">
        <v>86.8659916111554</v>
      </c>
      <c r="AF29" s="11" t="n">
        <v>84.7511136914766</v>
      </c>
      <c r="AG29" s="11" t="n">
        <v>89.2162204145104</v>
      </c>
      <c r="AH29" s="11" t="n">
        <v>85.9630125581707</v>
      </c>
      <c r="AI29" s="11" t="n">
        <v>86.2529385832749</v>
      </c>
      <c r="AJ29" s="11" t="n">
        <v>91.1685970287694</v>
      </c>
      <c r="AK29" s="11" t="n">
        <v>76.9493134971469</v>
      </c>
      <c r="AL29" s="11" t="n">
        <v>72.3888493324834</v>
      </c>
      <c r="AM29" s="11" t="n">
        <v>75.1703168805196</v>
      </c>
      <c r="AN29" s="11" t="n">
        <v>78.187452747817</v>
      </c>
      <c r="AO29" s="11" t="n">
        <v>77.9500063222902</v>
      </c>
      <c r="AP29" s="11" t="n">
        <v>77.742843713535</v>
      </c>
      <c r="AQ29" s="11" t="n">
        <v>77.4147709096994</v>
      </c>
      <c r="AR29" s="11" t="n">
        <v>77.4367343187061</v>
      </c>
      <c r="AS29" s="11" t="n">
        <v>77.2314574959306</v>
      </c>
      <c r="AT29" s="11" t="n">
        <v>77.1749179919702</v>
      </c>
      <c r="AU29" s="11" t="n">
        <v>77.1139619834114</v>
      </c>
      <c r="AV29" s="11" t="n">
        <v>77.1074074967666</v>
      </c>
      <c r="AW29" s="11" t="n">
        <v>77.1225839324225</v>
      </c>
      <c r="AX29" s="11" t="n">
        <v>77.1950574054799</v>
      </c>
      <c r="AY29" s="11" t="n">
        <v>77.6476658916962</v>
      </c>
      <c r="AZ29" s="11" t="n">
        <v>77.7847248274141</v>
      </c>
      <c r="BA29" s="11" t="n">
        <v>78.0114060161747</v>
      </c>
      <c r="BB29" s="11" t="n">
        <v>78.2486171724253</v>
      </c>
      <c r="BC29" s="11" t="n">
        <v>78.5263353858681</v>
      </c>
      <c r="BD29" s="11" t="n">
        <v>78.8879681249762</v>
      </c>
      <c r="BE29" s="11" t="n">
        <v>79.0980874278803</v>
      </c>
      <c r="BF29" s="11" t="n">
        <v>79.2325051934613</v>
      </c>
      <c r="BG29" s="11" t="n">
        <v>79.5642830863713</v>
      </c>
      <c r="BH29" s="11" t="n">
        <v>79.5656740841862</v>
      </c>
      <c r="BI29" s="11" t="n">
        <v>79.6687609819957</v>
      </c>
      <c r="BJ29" s="11" t="n">
        <v>79.9120267463285</v>
      </c>
      <c r="BK29" s="11" t="n">
        <v>79.9650554695884</v>
      </c>
      <c r="BL29" s="11" t="n">
        <v>79.9253420044113</v>
      </c>
      <c r="BM29" s="11" t="n">
        <v>79.8797283157506</v>
      </c>
      <c r="BN29" s="11" t="n">
        <v>381.439468996645</v>
      </c>
      <c r="BO29" s="11" t="n">
        <v>386.371842699718</v>
      </c>
      <c r="BP29" s="11" t="n">
        <v>386.857439553779</v>
      </c>
      <c r="BQ29" s="11" t="n">
        <v>392.772414127325</v>
      </c>
    </row>
    <row r="30" customFormat="false" ht="13.8" hidden="false" customHeight="false" outlineLevel="0" collapsed="false">
      <c r="A30" s="11" t="s">
        <v>155</v>
      </c>
      <c r="B30" s="11" t="s">
        <v>145</v>
      </c>
      <c r="C30" s="11" t="s">
        <v>139</v>
      </c>
      <c r="D30" s="12"/>
      <c r="E30" s="11" t="n">
        <v>2.030124554192</v>
      </c>
      <c r="F30" s="11" t="n">
        <v>2.18471106343622</v>
      </c>
      <c r="G30" s="11" t="n">
        <v>1.9945672057248</v>
      </c>
      <c r="H30" s="11" t="n">
        <v>2.12739627679468</v>
      </c>
      <c r="I30" s="11" t="n">
        <v>1.88142588752361</v>
      </c>
      <c r="J30" s="11" t="n">
        <v>1.53799623794858</v>
      </c>
      <c r="K30" s="11" t="n">
        <v>1.59844335977038</v>
      </c>
      <c r="L30" s="11" t="n">
        <v>1.45841543922157</v>
      </c>
      <c r="M30" s="11" t="n">
        <v>1.41254743254772</v>
      </c>
      <c r="N30" s="11" t="n">
        <v>1.43110325260452</v>
      </c>
      <c r="O30" s="11" t="n">
        <v>1.26815022290038</v>
      </c>
      <c r="P30" s="11" t="n">
        <v>1.2478695639053</v>
      </c>
      <c r="Q30" s="11" t="n">
        <v>1.09531900072005</v>
      </c>
      <c r="R30" s="11" t="n">
        <v>1.01289196739384</v>
      </c>
      <c r="S30" s="11" t="n">
        <v>0.982359313650174</v>
      </c>
      <c r="T30" s="11" t="n">
        <v>0.897591964388521</v>
      </c>
      <c r="U30" s="11" t="n">
        <v>0.885797108559108</v>
      </c>
      <c r="V30" s="11" t="n">
        <v>0.853573181482256</v>
      </c>
      <c r="W30" s="11" t="n">
        <v>0.856922320465812</v>
      </c>
      <c r="X30" s="11" t="n">
        <v>0.844171007110997</v>
      </c>
      <c r="Y30" s="11" t="n">
        <v>0.925837660138189</v>
      </c>
      <c r="Z30" s="11" t="n">
        <v>0.844657408227867</v>
      </c>
      <c r="AA30" s="11" t="n">
        <v>0.882667864449413</v>
      </c>
      <c r="AB30" s="11" t="n">
        <v>0.920044016490673</v>
      </c>
      <c r="AC30" s="11" t="n">
        <v>0.846274659293319</v>
      </c>
      <c r="AD30" s="11" t="n">
        <v>0.864442474526235</v>
      </c>
      <c r="AE30" s="11" t="n">
        <v>0.893480966819406</v>
      </c>
      <c r="AF30" s="11" t="n">
        <v>0.940209296392752</v>
      </c>
      <c r="AG30" s="11" t="n">
        <v>0.981255685027575</v>
      </c>
      <c r="AH30" s="11" t="n">
        <v>0.962549001103791</v>
      </c>
      <c r="AI30" s="11" t="n">
        <v>0.983714236014688</v>
      </c>
      <c r="AJ30" s="11" t="n">
        <v>1.04517930620611</v>
      </c>
      <c r="AK30" s="11" t="n">
        <v>0.991773864116739</v>
      </c>
      <c r="AL30" s="11" t="n">
        <v>0.941681052261805</v>
      </c>
      <c r="AM30" s="11" t="n">
        <v>0.982884053202977</v>
      </c>
      <c r="AN30" s="11" t="n">
        <v>0.990805132235691</v>
      </c>
      <c r="AO30" s="11" t="n">
        <v>0.992623324502786</v>
      </c>
      <c r="AP30" s="11" t="n">
        <v>0.999453858202251</v>
      </c>
      <c r="AQ30" s="11" t="n">
        <v>0.999441475200873</v>
      </c>
      <c r="AR30" s="11" t="n">
        <v>0.993344729282479</v>
      </c>
      <c r="AS30" s="11" t="n">
        <v>0.980319538068227</v>
      </c>
      <c r="AT30" s="11" t="n">
        <v>0.973223627353967</v>
      </c>
      <c r="AU30" s="11" t="n">
        <v>0.970248963141081</v>
      </c>
      <c r="AV30" s="11" t="n">
        <v>0.963063599457332</v>
      </c>
      <c r="AW30" s="11" t="n">
        <v>0.954557638342223</v>
      </c>
      <c r="AX30" s="11" t="n">
        <v>0.934468835365623</v>
      </c>
      <c r="AY30" s="11" t="n">
        <v>0.911796031283865</v>
      </c>
      <c r="AZ30" s="11" t="n">
        <v>0.880528568836688</v>
      </c>
      <c r="BA30" s="11" t="n">
        <v>0.866961412273352</v>
      </c>
      <c r="BB30" s="11" t="n">
        <v>0.853639442423882</v>
      </c>
      <c r="BC30" s="11" t="n">
        <v>0.841510571044121</v>
      </c>
      <c r="BD30" s="11" t="n">
        <v>0.829397146243866</v>
      </c>
      <c r="BE30" s="11" t="n">
        <v>0.812815156165669</v>
      </c>
      <c r="BF30" s="11" t="n">
        <v>0.80425822056237</v>
      </c>
      <c r="BG30" s="11" t="n">
        <v>0.794813222971313</v>
      </c>
      <c r="BH30" s="11" t="n">
        <v>0.778357183642508</v>
      </c>
      <c r="BI30" s="11" t="n">
        <v>0.760614542813778</v>
      </c>
      <c r="BJ30" s="11" t="n">
        <v>0.745000786750533</v>
      </c>
      <c r="BK30" s="11" t="n">
        <v>0.734843183256729</v>
      </c>
      <c r="BL30" s="11" t="n">
        <v>0.734512576751465</v>
      </c>
      <c r="BM30" s="11" t="n">
        <v>0.734377879017616</v>
      </c>
      <c r="BN30" s="11" t="n">
        <v>4.90744742040551</v>
      </c>
      <c r="BO30" s="11" t="n">
        <v>4.91657833304663</v>
      </c>
      <c r="BP30" s="11" t="n">
        <v>4.64441467328573</v>
      </c>
      <c r="BQ30" s="11" t="n">
        <v>4.20432372815089</v>
      </c>
    </row>
    <row r="31" customFormat="false" ht="13.8" hidden="false" customHeight="false" outlineLevel="0" collapsed="false">
      <c r="A31" s="11" t="s">
        <v>156</v>
      </c>
      <c r="B31" s="11" t="s">
        <v>145</v>
      </c>
      <c r="C31" s="11" t="s">
        <v>139</v>
      </c>
      <c r="D31" s="12"/>
      <c r="E31" s="11" t="n">
        <v>0.803846646059868</v>
      </c>
      <c r="F31" s="11" t="n">
        <v>0.82826751111269</v>
      </c>
      <c r="G31" s="11" t="n">
        <v>0.800673717239957</v>
      </c>
      <c r="H31" s="11" t="n">
        <v>0.819323039917271</v>
      </c>
      <c r="I31" s="11" t="n">
        <v>0.782881171566505</v>
      </c>
      <c r="J31" s="11" t="n">
        <v>0.733462075757156</v>
      </c>
      <c r="K31" s="11" t="n">
        <v>0.747304308394234</v>
      </c>
      <c r="L31" s="11" t="n">
        <v>0.727557422178595</v>
      </c>
      <c r="M31" s="11" t="n">
        <v>0.720071388943577</v>
      </c>
      <c r="N31" s="11" t="n">
        <v>0.723323631281291</v>
      </c>
      <c r="O31" s="11" t="n">
        <v>0.701128967996624</v>
      </c>
      <c r="P31" s="11" t="n">
        <v>0.702079099264855</v>
      </c>
      <c r="Q31" s="11" t="n">
        <v>0.676881243874794</v>
      </c>
      <c r="R31" s="11" t="n">
        <v>0.665624646656046</v>
      </c>
      <c r="S31" s="11" t="n">
        <v>0.667992520226126</v>
      </c>
      <c r="T31" s="11" t="n">
        <v>0.663368901986629</v>
      </c>
      <c r="U31" s="11" t="n">
        <v>0.666538925470497</v>
      </c>
      <c r="V31" s="11" t="n">
        <v>0.666283633552895</v>
      </c>
      <c r="W31" s="11" t="n">
        <v>0.674512136836211</v>
      </c>
      <c r="X31" s="11" t="n">
        <v>0.677989974403374</v>
      </c>
      <c r="Y31" s="11" t="n">
        <v>0.694687837107868</v>
      </c>
      <c r="Z31" s="11" t="n">
        <v>0.682594805284617</v>
      </c>
      <c r="AA31" s="11" t="n">
        <v>0.69304367834433</v>
      </c>
      <c r="AB31" s="11" t="n">
        <v>0.701293262661856</v>
      </c>
      <c r="AC31" s="11" t="n">
        <v>0.693481536121007</v>
      </c>
      <c r="AD31" s="11" t="n">
        <v>0.697701399181227</v>
      </c>
      <c r="AE31" s="11" t="n">
        <v>0.70690583633571</v>
      </c>
      <c r="AF31" s="11" t="n">
        <v>0.713481592450162</v>
      </c>
      <c r="AG31" s="11" t="n">
        <v>0.7253592451567</v>
      </c>
      <c r="AH31" s="11" t="n">
        <v>0.725080797967358</v>
      </c>
      <c r="AI31" s="11" t="n">
        <v>0.729496304148848</v>
      </c>
      <c r="AJ31" s="11" t="n">
        <v>0.73947432248103</v>
      </c>
      <c r="AK31" s="11" t="n">
        <v>0.732979969265163</v>
      </c>
      <c r="AL31" s="11" t="n">
        <v>0.729579335172371</v>
      </c>
      <c r="AM31" s="11" t="n">
        <v>0.743249110875358</v>
      </c>
      <c r="AN31" s="11" t="n">
        <v>0.749880990376204</v>
      </c>
      <c r="AO31" s="11" t="n">
        <v>0.754544491562877</v>
      </c>
      <c r="AP31" s="11" t="n">
        <v>0.759186387441694</v>
      </c>
      <c r="AQ31" s="11" t="n">
        <v>0.762073926113933</v>
      </c>
      <c r="AR31" s="11" t="n">
        <v>0.764084038469813</v>
      </c>
      <c r="AS31" s="11" t="n">
        <v>0.765013634705959</v>
      </c>
      <c r="AT31" s="11" t="n">
        <v>0.766687346785985</v>
      </c>
      <c r="AU31" s="11" t="n">
        <v>0.768842903024643</v>
      </c>
      <c r="AV31" s="11" t="n">
        <v>0.770449179294106</v>
      </c>
      <c r="AW31" s="11" t="n">
        <v>0.771830973041528</v>
      </c>
      <c r="AX31" s="11" t="n">
        <v>0.771565771295739</v>
      </c>
      <c r="AY31" s="11" t="n">
        <v>0.770893243918202</v>
      </c>
      <c r="AZ31" s="11" t="n">
        <v>0.768974846929277</v>
      </c>
      <c r="BA31" s="11" t="n">
        <v>0.769451587793413</v>
      </c>
      <c r="BB31" s="11" t="n">
        <v>0.769918686690477</v>
      </c>
      <c r="BC31" s="11" t="n">
        <v>0.770544836581868</v>
      </c>
      <c r="BD31" s="11" t="n">
        <v>0.771138181419222</v>
      </c>
      <c r="BE31" s="11" t="n">
        <v>0.771071617612028</v>
      </c>
      <c r="BF31" s="11" t="n">
        <v>0.772091878159039</v>
      </c>
      <c r="BG31" s="11" t="n">
        <v>0.772927671651101</v>
      </c>
      <c r="BH31" s="11" t="n">
        <v>0.772678394766643</v>
      </c>
      <c r="BI31" s="11" t="n">
        <v>0.772121196221828</v>
      </c>
      <c r="BJ31" s="11" t="n">
        <v>0.771784083119773</v>
      </c>
      <c r="BK31" s="11" t="n">
        <v>0.772139381762539</v>
      </c>
      <c r="BL31" s="11" t="n">
        <v>0.773793540038199</v>
      </c>
      <c r="BM31" s="11" t="n">
        <v>0.775400355864012</v>
      </c>
      <c r="BN31" s="11" t="n">
        <v>3.7364403154285</v>
      </c>
      <c r="BO31" s="11" t="n">
        <v>3.82670184910033</v>
      </c>
      <c r="BP31" s="11" t="n">
        <v>3.85371401447885</v>
      </c>
      <c r="BQ31" s="11" t="n">
        <v>3.85212491009701</v>
      </c>
    </row>
    <row r="32" customFormat="false" ht="35" hidden="false" customHeight="true" outlineLevel="0" collapsed="false">
      <c r="A32" s="11" t="s">
        <v>154</v>
      </c>
      <c r="B32" s="11" t="s">
        <v>146</v>
      </c>
      <c r="C32" s="11" t="s">
        <v>139</v>
      </c>
      <c r="D32" s="12"/>
      <c r="E32" s="11" t="n">
        <v>126.734280544652</v>
      </c>
      <c r="F32" s="11" t="n">
        <v>124.875535800294</v>
      </c>
      <c r="G32" s="11" t="n">
        <v>126.13221240872</v>
      </c>
      <c r="H32" s="11" t="n">
        <v>127.482468151584</v>
      </c>
      <c r="I32" s="11" t="n">
        <v>128.768253321486</v>
      </c>
      <c r="J32" s="11" t="n">
        <v>128.165426265314</v>
      </c>
      <c r="K32" s="11" t="n">
        <v>132.606035184897</v>
      </c>
      <c r="L32" s="11" t="n">
        <v>133.077743573691</v>
      </c>
      <c r="M32" s="11" t="n">
        <v>132.113028379059</v>
      </c>
      <c r="N32" s="11" t="n">
        <v>133.686552512601</v>
      </c>
      <c r="O32" s="11" t="n">
        <v>131.748021969602</v>
      </c>
      <c r="P32" s="11" t="n">
        <v>131.78151285091</v>
      </c>
      <c r="Q32" s="11" t="n">
        <v>134.782969732224</v>
      </c>
      <c r="R32" s="11" t="n">
        <v>133.997571395157</v>
      </c>
      <c r="S32" s="11" t="n">
        <v>135.181893146941</v>
      </c>
      <c r="T32" s="11" t="n">
        <v>135.625815006098</v>
      </c>
      <c r="U32" s="11" t="n">
        <v>135.714065160162</v>
      </c>
      <c r="V32" s="11" t="n">
        <v>136.779614106619</v>
      </c>
      <c r="W32" s="11" t="n">
        <v>131.722707822604</v>
      </c>
      <c r="X32" s="11" t="n">
        <v>127.162589713157</v>
      </c>
      <c r="Y32" s="11" t="n">
        <v>125.482012832332</v>
      </c>
      <c r="Z32" s="11" t="n">
        <v>122.816849790181</v>
      </c>
      <c r="AA32" s="11" t="n">
        <v>122.049543889115</v>
      </c>
      <c r="AB32" s="11" t="n">
        <v>120.207485455733</v>
      </c>
      <c r="AC32" s="11" t="n">
        <v>121.957819313515</v>
      </c>
      <c r="AD32" s="11" t="n">
        <v>122.387295757524</v>
      </c>
      <c r="AE32" s="11" t="n">
        <v>125.805046801565</v>
      </c>
      <c r="AF32" s="11" t="n">
        <v>126.482495943488</v>
      </c>
      <c r="AG32" s="11" t="n">
        <v>125.14352192694</v>
      </c>
      <c r="AH32" s="11" t="n">
        <v>121.829413966915</v>
      </c>
      <c r="AI32" s="11" t="n">
        <v>100.815821597544</v>
      </c>
      <c r="AJ32" s="11" t="n">
        <v>109.279415631236</v>
      </c>
      <c r="AK32" s="11" t="n">
        <v>110.52234783005</v>
      </c>
      <c r="AL32" s="11" t="n">
        <v>109.288217164144</v>
      </c>
      <c r="AM32" s="11" t="n">
        <v>109.9443043458</v>
      </c>
      <c r="AN32" s="11" t="n">
        <v>114.080864112347</v>
      </c>
      <c r="AO32" s="11" t="n">
        <v>111.336393590645</v>
      </c>
      <c r="AP32" s="11" t="n">
        <v>108.388698421616</v>
      </c>
      <c r="AQ32" s="11" t="n">
        <v>104.115200031719</v>
      </c>
      <c r="AR32" s="11" t="n">
        <v>99.0018886551455</v>
      </c>
      <c r="AS32" s="11" t="n">
        <v>92.876655746194</v>
      </c>
      <c r="AT32" s="11" t="n">
        <v>87.2543492974143</v>
      </c>
      <c r="AU32" s="11" t="n">
        <v>82.0499311010346</v>
      </c>
      <c r="AV32" s="11" t="n">
        <v>77.5545547670061</v>
      </c>
      <c r="AW32" s="11" t="n">
        <v>73.5433287459664</v>
      </c>
      <c r="AX32" s="11" t="n">
        <v>70.0438153855085</v>
      </c>
      <c r="AY32" s="11" t="n">
        <v>66.879283600997</v>
      </c>
      <c r="AZ32" s="11" t="n">
        <v>64.0400338302282</v>
      </c>
      <c r="BA32" s="11" t="n">
        <v>61.5271900929347</v>
      </c>
      <c r="BB32" s="11" t="n">
        <v>59.3638661250293</v>
      </c>
      <c r="BC32" s="11" t="n">
        <v>57.3847335340012</v>
      </c>
      <c r="BD32" s="11" t="n">
        <v>55.7357795157386</v>
      </c>
      <c r="BE32" s="11" t="n">
        <v>54.2819972067731</v>
      </c>
      <c r="BF32" s="11" t="n">
        <v>53.1384976905681</v>
      </c>
      <c r="BG32" s="11" t="n">
        <v>52.1352978256127</v>
      </c>
      <c r="BH32" s="11" t="n">
        <v>51.2836948596691</v>
      </c>
      <c r="BI32" s="11" t="n">
        <v>50.626327307593</v>
      </c>
      <c r="BJ32" s="11" t="n">
        <v>50.0575771692664</v>
      </c>
      <c r="BK32" s="11" t="n">
        <v>49.7231149234285</v>
      </c>
      <c r="BL32" s="11" t="n">
        <v>49.3881490580329</v>
      </c>
      <c r="BM32" s="11" t="n">
        <v>49.122732156538</v>
      </c>
      <c r="BN32" s="11" t="n">
        <v>553.038477634553</v>
      </c>
      <c r="BO32" s="11" t="n">
        <v>465.298024831508</v>
      </c>
      <c r="BP32" s="11" t="n">
        <v>352.061016329706</v>
      </c>
      <c r="BQ32" s="11" t="n">
        <v>288.293566474477</v>
      </c>
    </row>
    <row r="33" customFormat="false" ht="13.8" hidden="false" customHeight="false" outlineLevel="0" collapsed="false">
      <c r="A33" s="11" t="s">
        <v>155</v>
      </c>
      <c r="B33" s="11" t="s">
        <v>146</v>
      </c>
      <c r="C33" s="11" t="s">
        <v>139</v>
      </c>
      <c r="D33" s="12"/>
      <c r="E33" s="11" t="n">
        <v>1.27297720515135</v>
      </c>
      <c r="F33" s="11" t="n">
        <v>1.25061064970841</v>
      </c>
      <c r="G33" s="11" t="n">
        <v>1.23659342757763</v>
      </c>
      <c r="H33" s="11" t="n">
        <v>1.18090350389311</v>
      </c>
      <c r="I33" s="11" t="n">
        <v>1.0955305717644</v>
      </c>
      <c r="J33" s="11" t="n">
        <v>1.00538977767048</v>
      </c>
      <c r="K33" s="11" t="n">
        <v>0.962315761341808</v>
      </c>
      <c r="L33" s="11" t="n">
        <v>0.892673715164622</v>
      </c>
      <c r="M33" s="11" t="n">
        <v>0.811787421135039</v>
      </c>
      <c r="N33" s="11" t="n">
        <v>0.757576314149588</v>
      </c>
      <c r="O33" s="11" t="n">
        <v>0.684101118961526</v>
      </c>
      <c r="P33" s="11" t="n">
        <v>0.607935662175375</v>
      </c>
      <c r="Q33" s="11" t="n">
        <v>0.553564609166541</v>
      </c>
      <c r="R33" s="11" t="n">
        <v>0.490426598642274</v>
      </c>
      <c r="S33" s="11" t="n">
        <v>0.442652781387932</v>
      </c>
      <c r="T33" s="11" t="n">
        <v>0.405383013533053</v>
      </c>
      <c r="U33" s="11" t="n">
        <v>0.367868497150927</v>
      </c>
      <c r="V33" s="11" t="n">
        <v>0.336314856171961</v>
      </c>
      <c r="W33" s="11" t="n">
        <v>0.298070140703524</v>
      </c>
      <c r="X33" s="11" t="n">
        <v>0.222453927724501</v>
      </c>
      <c r="Y33" s="11" t="n">
        <v>0.197670484382094</v>
      </c>
      <c r="Z33" s="11" t="n">
        <v>0.175810705642374</v>
      </c>
      <c r="AA33" s="11" t="n">
        <v>0.155309615308844</v>
      </c>
      <c r="AB33" s="11" t="n">
        <v>0.138456429603221</v>
      </c>
      <c r="AC33" s="11" t="n">
        <v>0.128692960690485</v>
      </c>
      <c r="AD33" s="11" t="n">
        <v>0.116468892746588</v>
      </c>
      <c r="AE33" s="11" t="n">
        <v>0.110299894104663</v>
      </c>
      <c r="AF33" s="11" t="n">
        <v>0.10357697205978</v>
      </c>
      <c r="AG33" s="11" t="n">
        <v>0.0976695620046845</v>
      </c>
      <c r="AH33" s="11" t="n">
        <v>0.0954434157696386</v>
      </c>
      <c r="AI33" s="11" t="n">
        <v>0.0747884074140274</v>
      </c>
      <c r="AJ33" s="11" t="n">
        <v>0.0810221488085115</v>
      </c>
      <c r="AK33" s="11" t="n">
        <v>0.0850575444875325</v>
      </c>
      <c r="AL33" s="11" t="n">
        <v>0.0856761920612092</v>
      </c>
      <c r="AM33" s="11" t="n">
        <v>0.0916319440299271</v>
      </c>
      <c r="AN33" s="11" t="n">
        <v>0.0909217827303403</v>
      </c>
      <c r="AO33" s="11" t="n">
        <v>0.0887842092101223</v>
      </c>
      <c r="AP33" s="11" t="n">
        <v>0.087420592819318</v>
      </c>
      <c r="AQ33" s="11" t="n">
        <v>0.0851256715166789</v>
      </c>
      <c r="AR33" s="11" t="n">
        <v>0.0818524064943757</v>
      </c>
      <c r="AS33" s="11" t="n">
        <v>0.0774992849513038</v>
      </c>
      <c r="AT33" s="11" t="n">
        <v>0.0735861299024111</v>
      </c>
      <c r="AU33" s="11" t="n">
        <v>0.0698399119472463</v>
      </c>
      <c r="AV33" s="11" t="n">
        <v>0.0662771964785813</v>
      </c>
      <c r="AW33" s="11" t="n">
        <v>0.0630099982073769</v>
      </c>
      <c r="AX33" s="11" t="n">
        <v>0.0600152051912518</v>
      </c>
      <c r="AY33" s="11" t="n">
        <v>0.0572451705051194</v>
      </c>
      <c r="AZ33" s="11" t="n">
        <v>0.0547459242141848</v>
      </c>
      <c r="BA33" s="11" t="n">
        <v>0.052504695893635</v>
      </c>
      <c r="BB33" s="11" t="n">
        <v>0.0504407502252322</v>
      </c>
      <c r="BC33" s="11" t="n">
        <v>0.0486241645346054</v>
      </c>
      <c r="BD33" s="11" t="n">
        <v>0.0469414542475856</v>
      </c>
      <c r="BE33" s="11" t="n">
        <v>0.0455899136763954</v>
      </c>
      <c r="BF33" s="11" t="n">
        <v>0.0444078648804305</v>
      </c>
      <c r="BG33" s="11" t="n">
        <v>0.0434457880445697</v>
      </c>
      <c r="BH33" s="11" t="n">
        <v>0.0427220977945153</v>
      </c>
      <c r="BI33" s="11" t="n">
        <v>0.0421881206021258</v>
      </c>
      <c r="BJ33" s="11" t="n">
        <v>0.0417235753429196</v>
      </c>
      <c r="BK33" s="11" t="n">
        <v>0.0413881166836883</v>
      </c>
      <c r="BL33" s="11" t="n">
        <v>0.0411596515024323</v>
      </c>
      <c r="BM33" s="11" t="n">
        <v>0.0410012940919093</v>
      </c>
      <c r="BN33" s="11" t="n">
        <v>0.444434720850917</v>
      </c>
      <c r="BO33" s="11" t="n">
        <v>0.387903404812016</v>
      </c>
      <c r="BP33" s="11" t="n">
        <v>0.301293494596514</v>
      </c>
      <c r="BQ33" s="11" t="n">
        <v>0.244100978577454</v>
      </c>
    </row>
    <row r="34" customFormat="false" ht="13.8" hidden="false" customHeight="false" outlineLevel="0" collapsed="false">
      <c r="A34" s="11" t="s">
        <v>156</v>
      </c>
      <c r="B34" s="11" t="s">
        <v>146</v>
      </c>
      <c r="C34" s="11" t="s">
        <v>139</v>
      </c>
      <c r="D34" s="12"/>
      <c r="E34" s="11" t="n">
        <v>1.24775117152632</v>
      </c>
      <c r="F34" s="11" t="n">
        <v>1.21520447900567</v>
      </c>
      <c r="G34" s="11" t="n">
        <v>1.2333367005259</v>
      </c>
      <c r="H34" s="11" t="n">
        <v>1.29748994773686</v>
      </c>
      <c r="I34" s="11" t="n">
        <v>1.40526508020833</v>
      </c>
      <c r="J34" s="11" t="n">
        <v>1.5477509676949</v>
      </c>
      <c r="K34" s="11" t="n">
        <v>1.45573361897587</v>
      </c>
      <c r="L34" s="11" t="n">
        <v>1.45373801566731</v>
      </c>
      <c r="M34" s="11" t="n">
        <v>1.43333366182607</v>
      </c>
      <c r="N34" s="11" t="n">
        <v>1.4496442444495</v>
      </c>
      <c r="O34" s="11" t="n">
        <v>1.42004361609706</v>
      </c>
      <c r="P34" s="11" t="n">
        <v>1.35262656191271</v>
      </c>
      <c r="Q34" s="11" t="n">
        <v>1.32955318441563</v>
      </c>
      <c r="R34" s="11" t="n">
        <v>1.25674366888078</v>
      </c>
      <c r="S34" s="11" t="n">
        <v>1.20777864231287</v>
      </c>
      <c r="T34" s="11" t="n">
        <v>1.1492589007786</v>
      </c>
      <c r="U34" s="11" t="n">
        <v>1.0871101533855</v>
      </c>
      <c r="V34" s="11" t="n">
        <v>1.05149842568121</v>
      </c>
      <c r="W34" s="11" t="n">
        <v>0.890620745807167</v>
      </c>
      <c r="X34" s="11" t="n">
        <v>0.844914398363467</v>
      </c>
      <c r="Y34" s="11" t="n">
        <v>0.849296904955033</v>
      </c>
      <c r="Z34" s="11" t="n">
        <v>0.862456549136756</v>
      </c>
      <c r="AA34" s="11" t="n">
        <v>0.877239206896132</v>
      </c>
      <c r="AB34" s="11" t="n">
        <v>0.894622354167944</v>
      </c>
      <c r="AC34" s="11" t="n">
        <v>0.934204816450958</v>
      </c>
      <c r="AD34" s="11" t="n">
        <v>0.949799549113105</v>
      </c>
      <c r="AE34" s="11" t="n">
        <v>0.987987362907362</v>
      </c>
      <c r="AF34" s="11" t="n">
        <v>1.00785908615541</v>
      </c>
      <c r="AG34" s="11" t="n">
        <v>1.01707539544984</v>
      </c>
      <c r="AH34" s="11" t="n">
        <v>0.991684737617365</v>
      </c>
      <c r="AI34" s="11" t="n">
        <v>0.871004562768478</v>
      </c>
      <c r="AJ34" s="11" t="n">
        <v>0.922070495488821</v>
      </c>
      <c r="AK34" s="11" t="n">
        <v>0.917810058079544</v>
      </c>
      <c r="AL34" s="11" t="n">
        <v>0.895428540077311</v>
      </c>
      <c r="AM34" s="11" t="n">
        <v>0.962369082226078</v>
      </c>
      <c r="AN34" s="11" t="n">
        <v>0.957863691885561</v>
      </c>
      <c r="AO34" s="11" t="n">
        <v>0.940650820060079</v>
      </c>
      <c r="AP34" s="11" t="n">
        <v>0.921570784413183</v>
      </c>
      <c r="AQ34" s="11" t="n">
        <v>0.897843672333401</v>
      </c>
      <c r="AR34" s="11" t="n">
        <v>0.869491933650172</v>
      </c>
      <c r="AS34" s="11" t="n">
        <v>0.83786957293044</v>
      </c>
      <c r="AT34" s="11" t="n">
        <v>0.810258345089561</v>
      </c>
      <c r="AU34" s="11" t="n">
        <v>0.785267163383232</v>
      </c>
      <c r="AV34" s="11" t="n">
        <v>0.762943035281686</v>
      </c>
      <c r="AW34" s="11" t="n">
        <v>0.744410741645247</v>
      </c>
      <c r="AX34" s="11" t="n">
        <v>0.729205940391074</v>
      </c>
      <c r="AY34" s="11" t="n">
        <v>0.716558688772612</v>
      </c>
      <c r="AZ34" s="11" t="n">
        <v>0.7059381310408</v>
      </c>
      <c r="BA34" s="11" t="n">
        <v>0.697596618407828</v>
      </c>
      <c r="BB34" s="11" t="n">
        <v>0.691107090055717</v>
      </c>
      <c r="BC34" s="11" t="n">
        <v>0.685959456952279</v>
      </c>
      <c r="BD34" s="11" t="n">
        <v>0.680476971121132</v>
      </c>
      <c r="BE34" s="11" t="n">
        <v>0.676580738691276</v>
      </c>
      <c r="BF34" s="11" t="n">
        <v>0.673482466236612</v>
      </c>
      <c r="BG34" s="11" t="n">
        <v>0.671615244097823</v>
      </c>
      <c r="BH34" s="11" t="n">
        <v>0.670603688725513</v>
      </c>
      <c r="BI34" s="11" t="n">
        <v>0.670398676514809</v>
      </c>
      <c r="BJ34" s="11" t="n">
        <v>0.670366128320408</v>
      </c>
      <c r="BK34" s="11" t="n">
        <v>0.671255785945946</v>
      </c>
      <c r="BL34" s="11" t="n">
        <v>0.672943877409662</v>
      </c>
      <c r="BM34" s="11" t="n">
        <v>0.674357377996643</v>
      </c>
      <c r="BN34" s="11" t="n">
        <v>4.67788291866221</v>
      </c>
      <c r="BO34" s="11" t="n">
        <v>4.20073068738681</v>
      </c>
      <c r="BP34" s="11" t="n">
        <v>3.65905653713142</v>
      </c>
      <c r="BQ34" s="11" t="n">
        <v>3.43172087522823</v>
      </c>
    </row>
    <row r="35" customFormat="false" ht="35" hidden="false" customHeight="true" outlineLevel="0" collapsed="false">
      <c r="A35" s="11" t="s">
        <v>157</v>
      </c>
      <c r="B35" s="11" t="s">
        <v>147</v>
      </c>
      <c r="C35" s="11" t="s">
        <v>139</v>
      </c>
      <c r="D35" s="12"/>
      <c r="E35" s="11" t="n">
        <v>12.0611019747843</v>
      </c>
      <c r="F35" s="11" t="n">
        <v>12.560947045067</v>
      </c>
      <c r="G35" s="11" t="n">
        <v>13.0608970765087</v>
      </c>
      <c r="H35" s="11" t="n">
        <v>13.7022535833677</v>
      </c>
      <c r="I35" s="11" t="n">
        <v>14.4551323986846</v>
      </c>
      <c r="J35" s="11" t="n">
        <v>15.4861113158081</v>
      </c>
      <c r="K35" s="11" t="n">
        <v>16.2087931058098</v>
      </c>
      <c r="L35" s="11" t="n">
        <v>18.0172093465266</v>
      </c>
      <c r="M35" s="11" t="n">
        <v>14.9080963382235</v>
      </c>
      <c r="N35" s="11" t="n">
        <v>7.96186376934351</v>
      </c>
      <c r="O35" s="11" t="n">
        <v>6.36046479715616</v>
      </c>
      <c r="P35" s="11" t="n">
        <v>7.05228750474409</v>
      </c>
      <c r="Q35" s="11" t="n">
        <v>7.4688138300499</v>
      </c>
      <c r="R35" s="11" t="n">
        <v>8.25870624154292</v>
      </c>
      <c r="S35" s="11" t="n">
        <v>7.36937772653388</v>
      </c>
      <c r="T35" s="11" t="n">
        <v>8.09555591302204</v>
      </c>
      <c r="U35" s="11" t="n">
        <v>8.88703175483168</v>
      </c>
      <c r="V35" s="11" t="n">
        <v>9.24213661121651</v>
      </c>
      <c r="W35" s="11" t="n">
        <v>9.58107153266835</v>
      </c>
      <c r="X35" s="11" t="n">
        <v>10.0020094196355</v>
      </c>
      <c r="Y35" s="11" t="n">
        <v>10.4979550302192</v>
      </c>
      <c r="Z35" s="11" t="n">
        <v>11.0654107151362</v>
      </c>
      <c r="AA35" s="11" t="n">
        <v>11.5161328830887</v>
      </c>
      <c r="AB35" s="11" t="n">
        <v>11.6114703501195</v>
      </c>
      <c r="AC35" s="11" t="n">
        <v>11.1356108294494</v>
      </c>
      <c r="AD35" s="11" t="n">
        <v>10.9498065093755</v>
      </c>
      <c r="AE35" s="11" t="n">
        <v>10.614142394623</v>
      </c>
      <c r="AF35" s="11" t="n">
        <v>10.121289044966</v>
      </c>
      <c r="AG35" s="11" t="n">
        <v>9.66952181906882</v>
      </c>
      <c r="AH35" s="11" t="n">
        <v>8.98580877911218</v>
      </c>
      <c r="AI35" s="11" t="n">
        <v>8.15976812106435</v>
      </c>
      <c r="AJ35" s="11" t="n">
        <v>7.58436627904264</v>
      </c>
      <c r="AK35" s="11" t="n">
        <v>7.06898863688572</v>
      </c>
      <c r="AL35" s="11" t="n">
        <v>6.59748890429982</v>
      </c>
      <c r="AM35" s="11" t="n">
        <v>6.14657126839515</v>
      </c>
      <c r="AN35" s="11" t="n">
        <v>5.78995641676736</v>
      </c>
      <c r="AO35" s="11" t="n">
        <v>5.45582110094931</v>
      </c>
      <c r="AP35" s="11" t="n">
        <v>5.13969410232909</v>
      </c>
      <c r="AQ35" s="11" t="n">
        <v>4.83421727365179</v>
      </c>
      <c r="AR35" s="11" t="n">
        <v>4.55598570157372</v>
      </c>
      <c r="AS35" s="11" t="n">
        <v>4.31470265813777</v>
      </c>
      <c r="AT35" s="11" t="n">
        <v>4.09884472060177</v>
      </c>
      <c r="AU35" s="11" t="n">
        <v>3.89091088317771</v>
      </c>
      <c r="AV35" s="11" t="n">
        <v>3.70734813175856</v>
      </c>
      <c r="AW35" s="11" t="n">
        <v>3.53638632023551</v>
      </c>
      <c r="AX35" s="11" t="n">
        <v>3.38044042697567</v>
      </c>
      <c r="AY35" s="11" t="n">
        <v>3.24624656805012</v>
      </c>
      <c r="AZ35" s="11" t="n">
        <v>3.14013667374679</v>
      </c>
      <c r="BA35" s="11" t="n">
        <v>3.06190005083167</v>
      </c>
      <c r="BB35" s="11" t="n">
        <v>3.0277117596006</v>
      </c>
      <c r="BC35" s="11" t="n">
        <v>3.01583177269943</v>
      </c>
      <c r="BD35" s="11" t="n">
        <v>3.01833912244435</v>
      </c>
      <c r="BE35" s="11" t="n">
        <v>3.03328730057938</v>
      </c>
      <c r="BF35" s="11" t="n">
        <v>3.05775648539493</v>
      </c>
      <c r="BG35" s="11" t="n">
        <v>3.08999621719718</v>
      </c>
      <c r="BH35" s="11" t="n">
        <v>3.12816469439176</v>
      </c>
      <c r="BI35" s="11" t="n">
        <v>3.16835087322069</v>
      </c>
      <c r="BJ35" s="11" t="n">
        <v>3.20835860053058</v>
      </c>
      <c r="BK35" s="11" t="n">
        <v>3.24634714066601</v>
      </c>
      <c r="BL35" s="11" t="n">
        <v>3.28209647921313</v>
      </c>
      <c r="BM35" s="11" t="n">
        <v>3.31774528016102</v>
      </c>
      <c r="BN35" s="11" t="n">
        <v>29.1295317927407</v>
      </c>
      <c r="BO35" s="11" t="n">
        <v>21.6946612371428</v>
      </c>
      <c r="BP35" s="11" t="n">
        <v>17.0105581207666</v>
      </c>
      <c r="BQ35" s="11" t="n">
        <v>15.1570700061554</v>
      </c>
    </row>
    <row r="36" customFormat="false" ht="13.8" hidden="false" customHeight="false" outlineLevel="0" collapsed="false">
      <c r="A36" s="11" t="s">
        <v>158</v>
      </c>
      <c r="B36" s="11" t="s">
        <v>147</v>
      </c>
      <c r="C36" s="11" t="s">
        <v>139</v>
      </c>
      <c r="D36" s="12"/>
      <c r="E36" s="11" t="n">
        <v>1.48366130882974</v>
      </c>
      <c r="F36" s="11" t="n">
        <v>1.24305334298279</v>
      </c>
      <c r="G36" s="11" t="n">
        <v>0.617640551647897</v>
      </c>
      <c r="H36" s="11" t="n">
        <v>0.538700846476154</v>
      </c>
      <c r="I36" s="11" t="n">
        <v>0.546409279966552</v>
      </c>
      <c r="J36" s="11" t="n">
        <v>0.533270281772293</v>
      </c>
      <c r="K36" s="11" t="n">
        <v>0.531928867885412</v>
      </c>
      <c r="L36" s="11" t="n">
        <v>0.446925644020109</v>
      </c>
      <c r="M36" s="11" t="n">
        <v>0.43528910732139</v>
      </c>
      <c r="N36" s="11" t="n">
        <v>0.412312802276656</v>
      </c>
      <c r="O36" s="11" t="n">
        <v>0.518621613064721</v>
      </c>
      <c r="P36" s="11" t="n">
        <v>0.432138729457178</v>
      </c>
      <c r="Q36" s="11" t="n">
        <v>0.364067786446409</v>
      </c>
      <c r="R36" s="11" t="n">
        <v>0.318513971049457</v>
      </c>
      <c r="S36" s="11" t="n">
        <v>0.402942811428177</v>
      </c>
      <c r="T36" s="11" t="n">
        <v>0.368307653921605</v>
      </c>
      <c r="U36" s="11" t="n">
        <v>0.369821205860997</v>
      </c>
      <c r="V36" s="11" t="n">
        <v>0.277694286963564</v>
      </c>
      <c r="W36" s="11" t="n">
        <v>0.255311612882481</v>
      </c>
      <c r="X36" s="11" t="n">
        <v>0.195240026958578</v>
      </c>
      <c r="Y36" s="11" t="n">
        <v>0.281496039558143</v>
      </c>
      <c r="Z36" s="11" t="n">
        <v>0.399303588048535</v>
      </c>
      <c r="AA36" s="11" t="n">
        <v>0.243138181819986</v>
      </c>
      <c r="AB36" s="11" t="n">
        <v>0.294217429839836</v>
      </c>
      <c r="AC36" s="11" t="n">
        <v>0.23782779605641</v>
      </c>
      <c r="AD36" s="11" t="n">
        <v>0.27442797543427</v>
      </c>
      <c r="AE36" s="11" t="n">
        <v>0.282656140525755</v>
      </c>
      <c r="AF36" s="11" t="n">
        <v>0.399670839674982</v>
      </c>
      <c r="AG36" s="11" t="n">
        <v>0.143010713300999</v>
      </c>
      <c r="AH36" s="11" t="n">
        <v>0.202358510131719</v>
      </c>
      <c r="AI36" s="11" t="n">
        <v>0.158297914028496</v>
      </c>
      <c r="AJ36" s="11" t="n">
        <v>0.194397699312559</v>
      </c>
      <c r="AK36" s="11" t="n">
        <v>0.151672562797158</v>
      </c>
      <c r="AL36" s="11" t="n">
        <v>0.145322964863698</v>
      </c>
      <c r="AM36" s="11" t="n">
        <v>0.157674757691205</v>
      </c>
      <c r="AN36" s="11" t="n">
        <v>0.157674757691205</v>
      </c>
      <c r="AO36" s="11" t="n">
        <v>0.157674757691205</v>
      </c>
      <c r="AP36" s="11" t="n">
        <v>0.157674757691205</v>
      </c>
      <c r="AQ36" s="11" t="n">
        <v>0.157674757691205</v>
      </c>
      <c r="AR36" s="11" t="n">
        <v>0.157674757691205</v>
      </c>
      <c r="AS36" s="11" t="n">
        <v>0.157674757691205</v>
      </c>
      <c r="AT36" s="11" t="n">
        <v>0.157674757691205</v>
      </c>
      <c r="AU36" s="11" t="n">
        <v>0.157674757691205</v>
      </c>
      <c r="AV36" s="11" t="n">
        <v>0.157674757691205</v>
      </c>
      <c r="AW36" s="11" t="n">
        <v>0.157674757691205</v>
      </c>
      <c r="AX36" s="11" t="n">
        <v>0.157674757691205</v>
      </c>
      <c r="AY36" s="11" t="n">
        <v>0.157674757691205</v>
      </c>
      <c r="AZ36" s="11" t="n">
        <v>0.157674757691205</v>
      </c>
      <c r="BA36" s="11" t="n">
        <v>0.157674757691205</v>
      </c>
      <c r="BB36" s="11" t="n">
        <v>0.157674757691205</v>
      </c>
      <c r="BC36" s="11" t="n">
        <v>0.157674757691205</v>
      </c>
      <c r="BD36" s="11" t="n">
        <v>0.157674757691205</v>
      </c>
      <c r="BE36" s="11" t="n">
        <v>0.157674757691205</v>
      </c>
      <c r="BF36" s="11" t="n">
        <v>0.157674757691205</v>
      </c>
      <c r="BG36" s="11" t="n">
        <v>0.157674757691205</v>
      </c>
      <c r="BH36" s="11" t="n">
        <v>0.157674757691205</v>
      </c>
      <c r="BI36" s="11" t="n">
        <v>0.157674757691205</v>
      </c>
      <c r="BJ36" s="11" t="n">
        <v>0.157674757691205</v>
      </c>
      <c r="BK36" s="11" t="n">
        <v>0.157674757691205</v>
      </c>
      <c r="BL36" s="11" t="n">
        <v>0.157674757691205</v>
      </c>
      <c r="BM36" s="11" t="n">
        <v>0.157674757691205</v>
      </c>
      <c r="BN36" s="11" t="n">
        <v>0.776021995628519</v>
      </c>
      <c r="BO36" s="11" t="n">
        <v>0.788373788456025</v>
      </c>
      <c r="BP36" s="11" t="n">
        <v>0.788373788456025</v>
      </c>
      <c r="BQ36" s="11" t="n">
        <v>0.788373788456025</v>
      </c>
    </row>
    <row r="37" customFormat="false" ht="13.8" hidden="false" customHeight="false" outlineLevel="0" collapsed="false">
      <c r="A37" s="11" t="s">
        <v>159</v>
      </c>
      <c r="B37" s="11" t="s">
        <v>147</v>
      </c>
      <c r="C37" s="11" t="s">
        <v>139</v>
      </c>
      <c r="D37" s="12"/>
      <c r="E37" s="11" t="n">
        <v>1.24291983149389</v>
      </c>
      <c r="F37" s="11" t="n">
        <v>1.3033380650546</v>
      </c>
      <c r="G37" s="11" t="n">
        <v>1.36957209756806</v>
      </c>
      <c r="H37" s="11" t="n">
        <v>1.19822362295174</v>
      </c>
      <c r="I37" s="11" t="n">
        <v>1.24424765770564</v>
      </c>
      <c r="J37" s="11" t="n">
        <v>1.29099147844553</v>
      </c>
      <c r="K37" s="11" t="n">
        <v>1.33841903033195</v>
      </c>
      <c r="L37" s="11" t="n">
        <v>1.31179173639896</v>
      </c>
      <c r="M37" s="11" t="n">
        <v>1.36070282137954</v>
      </c>
      <c r="N37" s="11" t="n">
        <v>1.53364172956695</v>
      </c>
      <c r="O37" s="11" t="n">
        <v>1.86203114027847</v>
      </c>
      <c r="P37" s="11" t="n">
        <v>1.47584681936645</v>
      </c>
      <c r="Q37" s="11" t="n">
        <v>1.51476662209972</v>
      </c>
      <c r="R37" s="11" t="n">
        <v>1.33398288885553</v>
      </c>
      <c r="S37" s="11" t="n">
        <v>1.12237909087011</v>
      </c>
      <c r="T37" s="11" t="n">
        <v>1.05689768072549</v>
      </c>
      <c r="U37" s="11" t="n">
        <v>0.875645821434384</v>
      </c>
      <c r="V37" s="11" t="n">
        <v>0.8315868666216</v>
      </c>
      <c r="W37" s="11" t="n">
        <v>0.670292526306523</v>
      </c>
      <c r="X37" s="11" t="n">
        <v>0.573575637388327</v>
      </c>
      <c r="Y37" s="11" t="n">
        <v>0.677275333999962</v>
      </c>
      <c r="Z37" s="11" t="n">
        <v>0.566450337664012</v>
      </c>
      <c r="AA37" s="11" t="n">
        <v>0.542274811410857</v>
      </c>
      <c r="AB37" s="11" t="n">
        <v>0.478647231455337</v>
      </c>
      <c r="AC37" s="11" t="n">
        <v>0.444232215587311</v>
      </c>
      <c r="AD37" s="11" t="n">
        <v>0.426418736992624</v>
      </c>
      <c r="AE37" s="11" t="n">
        <v>0.458386532676318</v>
      </c>
      <c r="AF37" s="11" t="n">
        <v>0.460093295564997</v>
      </c>
      <c r="AG37" s="11" t="n">
        <v>0.565037427403676</v>
      </c>
      <c r="AH37" s="11" t="n">
        <v>0.497196763554689</v>
      </c>
      <c r="AI37" s="11" t="n">
        <v>0.425406162786779</v>
      </c>
      <c r="AJ37" s="11" t="n">
        <v>0.38749956929647</v>
      </c>
      <c r="AK37" s="11" t="n">
        <v>0.333442729385777</v>
      </c>
      <c r="AL37" s="11" t="n">
        <v>0.301791676439176</v>
      </c>
      <c r="AM37" s="11" t="n">
        <v>0.307854862676676</v>
      </c>
      <c r="AN37" s="11" t="n">
        <v>0.314290204270114</v>
      </c>
      <c r="AO37" s="11" t="n">
        <v>0.320989403465887</v>
      </c>
      <c r="AP37" s="11" t="n">
        <v>0.327856082641555</v>
      </c>
      <c r="AQ37" s="11" t="n">
        <v>0.334894428796614</v>
      </c>
      <c r="AR37" s="11" t="n">
        <v>0.34210873360555</v>
      </c>
      <c r="AS37" s="11" t="n">
        <v>0.349503396034709</v>
      </c>
      <c r="AT37" s="11" t="n">
        <v>0.357082925024598</v>
      </c>
      <c r="AU37" s="11" t="n">
        <v>0.364851942239233</v>
      </c>
      <c r="AV37" s="11" t="n">
        <v>0.372815184884235</v>
      </c>
      <c r="AW37" s="11" t="n">
        <v>0.380977508595361</v>
      </c>
      <c r="AX37" s="11" t="n">
        <v>0.389343890399266</v>
      </c>
      <c r="AY37" s="11" t="n">
        <v>0.389343890399266</v>
      </c>
      <c r="AZ37" s="11" t="n">
        <v>0.389343890399266</v>
      </c>
      <c r="BA37" s="11" t="n">
        <v>0.389343890399266</v>
      </c>
      <c r="BB37" s="11" t="n">
        <v>0.389343890399266</v>
      </c>
      <c r="BC37" s="11" t="n">
        <v>0.389343890399266</v>
      </c>
      <c r="BD37" s="11" t="n">
        <v>0.389343890399266</v>
      </c>
      <c r="BE37" s="11" t="n">
        <v>0.389343890399266</v>
      </c>
      <c r="BF37" s="11" t="n">
        <v>0.389343890399266</v>
      </c>
      <c r="BG37" s="11" t="n">
        <v>0.389343890399266</v>
      </c>
      <c r="BH37" s="11" t="n">
        <v>0.389343890399266</v>
      </c>
      <c r="BI37" s="11" t="n">
        <v>0.389343890399266</v>
      </c>
      <c r="BJ37" s="11" t="n">
        <v>0.389343890399266</v>
      </c>
      <c r="BK37" s="11" t="n">
        <v>0.389343890399266</v>
      </c>
      <c r="BL37" s="11" t="n">
        <v>0.389343890399266</v>
      </c>
      <c r="BM37" s="11" t="n">
        <v>0.389343890399266</v>
      </c>
      <c r="BN37" s="11" t="n">
        <v>1.57278222949341</v>
      </c>
      <c r="BO37" s="11" t="n">
        <v>1.7484414257007</v>
      </c>
      <c r="BP37" s="11" t="n">
        <v>1.92182436467739</v>
      </c>
      <c r="BQ37" s="11" t="n">
        <v>1.94671945199633</v>
      </c>
    </row>
    <row r="38" customFormat="false" ht="13.8" hidden="false" customHeight="false" outlineLevel="0" collapsed="false">
      <c r="A38" s="11" t="s">
        <v>160</v>
      </c>
      <c r="B38" s="11" t="s">
        <v>147</v>
      </c>
      <c r="C38" s="11" t="s">
        <v>139</v>
      </c>
      <c r="D38" s="12"/>
      <c r="E38" s="11" t="n">
        <v>0.00010985408033557</v>
      </c>
      <c r="F38" s="11" t="n">
        <v>0.000130122158157483</v>
      </c>
      <c r="G38" s="11" t="n">
        <v>0.000154129696337539</v>
      </c>
      <c r="H38" s="11" t="n">
        <v>0.000182566625311815</v>
      </c>
      <c r="I38" s="11" t="n">
        <v>0.000216250167681844</v>
      </c>
      <c r="J38" s="11" t="n">
        <v>0.000256148323619145</v>
      </c>
      <c r="K38" s="11" t="n">
        <v>0.000303407689326877</v>
      </c>
      <c r="L38" s="11" t="n">
        <v>0.000359386408007685</v>
      </c>
      <c r="M38" s="11" t="n">
        <v>0.000413294369208839</v>
      </c>
      <c r="N38" s="11" t="n">
        <v>0.000475288524590164</v>
      </c>
      <c r="O38" s="11" t="n">
        <v>0.000546581803278689</v>
      </c>
      <c r="P38" s="11" t="n">
        <v>0.0003334149</v>
      </c>
      <c r="Q38" s="11" t="n">
        <v>0.000315667065</v>
      </c>
      <c r="R38" s="11" t="n">
        <v>0.000278092730755996</v>
      </c>
      <c r="S38" s="11" t="n">
        <v>0.000242880630310798</v>
      </c>
      <c r="T38" s="11" t="n">
        <v>0.000210030763664407</v>
      </c>
      <c r="U38" s="11" t="n">
        <v>0.000179543130816822</v>
      </c>
      <c r="V38" s="11" t="n">
        <v>0.000151417731768044</v>
      </c>
      <c r="W38" s="11" t="n">
        <v>0.000125654566518072</v>
      </c>
      <c r="X38" s="11" t="n">
        <v>0.000102253635066908</v>
      </c>
      <c r="Y38" s="11" t="n">
        <v>8.12149374145491E-005</v>
      </c>
      <c r="Z38" s="11" t="n">
        <v>7.29160376097755E-005</v>
      </c>
      <c r="AA38" s="11" t="n">
        <v>6.46171378050017E-005</v>
      </c>
      <c r="AB38" s="11" t="n">
        <v>5.63182380002279E-005</v>
      </c>
      <c r="AC38" s="11" t="n">
        <v>4.80193381954541E-005</v>
      </c>
      <c r="AD38" s="11" t="n">
        <v>3.97204383906805E-005</v>
      </c>
      <c r="AE38" s="11" t="n">
        <v>3.14215385859067E-005</v>
      </c>
      <c r="AF38" s="11" t="n">
        <v>2.65092764889187E-005</v>
      </c>
      <c r="AG38" s="11" t="n">
        <v>4.25164753911731E-005</v>
      </c>
      <c r="AH38" s="11" t="n">
        <v>4.67511840954731E-005</v>
      </c>
      <c r="AI38" s="11" t="n">
        <v>5.84389801193415E-005</v>
      </c>
      <c r="AJ38" s="11" t="n">
        <v>6.34359363904156E-005</v>
      </c>
      <c r="AK38" s="11" t="n">
        <v>6.34359363904156E-005</v>
      </c>
      <c r="AL38" s="11" t="n">
        <v>6.34359363904156E-005</v>
      </c>
      <c r="AM38" s="11" t="n">
        <v>6.34359363904156E-005</v>
      </c>
      <c r="AN38" s="11" t="n">
        <v>6.34359363904156E-005</v>
      </c>
      <c r="AO38" s="11" t="n">
        <v>6.34359363904156E-005</v>
      </c>
      <c r="AP38" s="11" t="n">
        <v>6.34359363904156E-005</v>
      </c>
      <c r="AQ38" s="11" t="n">
        <v>6.34359363904156E-005</v>
      </c>
      <c r="AR38" s="11" t="n">
        <v>6.34359363904156E-005</v>
      </c>
      <c r="AS38" s="11" t="n">
        <v>6.34359363904156E-005</v>
      </c>
      <c r="AT38" s="11" t="n">
        <v>6.34359363904156E-005</v>
      </c>
      <c r="AU38" s="11" t="n">
        <v>6.34359363904156E-005</v>
      </c>
      <c r="AV38" s="11" t="n">
        <v>6.34359363904156E-005</v>
      </c>
      <c r="AW38" s="11" t="n">
        <v>6.34359363904156E-005</v>
      </c>
      <c r="AX38" s="11" t="n">
        <v>6.34359363904156E-005</v>
      </c>
      <c r="AY38" s="11" t="n">
        <v>6.34359363904156E-005</v>
      </c>
      <c r="AZ38" s="11" t="n">
        <v>6.34359363904156E-005</v>
      </c>
      <c r="BA38" s="11" t="n">
        <v>6.34359363904156E-005</v>
      </c>
      <c r="BB38" s="11" t="n">
        <v>6.34359363904156E-005</v>
      </c>
      <c r="BC38" s="11" t="n">
        <v>6.34359363904156E-005</v>
      </c>
      <c r="BD38" s="11" t="n">
        <v>6.34359363904156E-005</v>
      </c>
      <c r="BE38" s="11" t="n">
        <v>6.34359363904156E-005</v>
      </c>
      <c r="BF38" s="11" t="n">
        <v>6.34359363904156E-005</v>
      </c>
      <c r="BG38" s="11" t="n">
        <v>6.34359363904156E-005</v>
      </c>
      <c r="BH38" s="11" t="n">
        <v>6.34359363904156E-005</v>
      </c>
      <c r="BI38" s="11" t="n">
        <v>6.34359363904156E-005</v>
      </c>
      <c r="BJ38" s="11" t="n">
        <v>6.34359363904156E-005</v>
      </c>
      <c r="BK38" s="11" t="n">
        <v>6.34359363904156E-005</v>
      </c>
      <c r="BL38" s="11" t="n">
        <v>6.34359363904156E-005</v>
      </c>
      <c r="BM38" s="11" t="n">
        <v>6.34359363904156E-005</v>
      </c>
      <c r="BN38" s="11" t="n">
        <v>0.000317179681952078</v>
      </c>
      <c r="BO38" s="11" t="n">
        <v>0.000317179681952078</v>
      </c>
      <c r="BP38" s="11" t="n">
        <v>0.000317179681952078</v>
      </c>
      <c r="BQ38" s="11" t="n">
        <v>0.000317179681952078</v>
      </c>
    </row>
    <row r="39" customFormat="false" ht="35" hidden="false" customHeight="true" outlineLevel="0" collapsed="false">
      <c r="A39" s="11" t="s">
        <v>154</v>
      </c>
      <c r="B39" s="11" t="s">
        <v>148</v>
      </c>
      <c r="C39" s="11" t="s">
        <v>139</v>
      </c>
      <c r="D39" s="12"/>
      <c r="E39" s="11" t="n">
        <v>20.6219362404401</v>
      </c>
      <c r="F39" s="11" t="n">
        <v>20.2912650459134</v>
      </c>
      <c r="G39" s="11" t="n">
        <v>21.3397090972266</v>
      </c>
      <c r="H39" s="11" t="n">
        <v>22.327864581128</v>
      </c>
      <c r="I39" s="11" t="n">
        <v>23.4025515596092</v>
      </c>
      <c r="J39" s="11" t="n">
        <v>24.6425694933124</v>
      </c>
      <c r="K39" s="11" t="n">
        <v>25.717769480051</v>
      </c>
      <c r="L39" s="11" t="n">
        <v>26.0655843835454</v>
      </c>
      <c r="M39" s="11" t="n">
        <v>27.3762980744627</v>
      </c>
      <c r="N39" s="11" t="n">
        <v>26.4620067875695</v>
      </c>
      <c r="O39" s="11" t="n">
        <v>27.065466152117</v>
      </c>
      <c r="P39" s="11" t="n">
        <v>28.1637990408643</v>
      </c>
      <c r="Q39" s="11" t="n">
        <v>27.1776526082601</v>
      </c>
      <c r="R39" s="11" t="n">
        <v>25.9976908456531</v>
      </c>
      <c r="S39" s="11" t="n">
        <v>25.0186454198416</v>
      </c>
      <c r="T39" s="11" t="n">
        <v>24.872011493586</v>
      </c>
      <c r="U39" s="11" t="n">
        <v>22.7489454965757</v>
      </c>
      <c r="V39" s="11" t="n">
        <v>22.0974462061529</v>
      </c>
      <c r="W39" s="11" t="n">
        <v>21.5093135567311</v>
      </c>
      <c r="X39" s="11" t="n">
        <v>21.2179558426366</v>
      </c>
      <c r="Y39" s="11" t="n">
        <v>21.2885874361872</v>
      </c>
      <c r="Z39" s="11" t="n">
        <v>19.2807655694501</v>
      </c>
      <c r="AA39" s="11" t="n">
        <v>17.3305553934198</v>
      </c>
      <c r="AB39" s="11" t="n">
        <v>17.5519370674</v>
      </c>
      <c r="AC39" s="11" t="n">
        <v>17.4774060977522</v>
      </c>
      <c r="AD39" s="11" t="n">
        <v>18.4220943268368</v>
      </c>
      <c r="AE39" s="11" t="n">
        <v>18.2833008613028</v>
      </c>
      <c r="AF39" s="11" t="n">
        <v>17.9474050799293</v>
      </c>
      <c r="AG39" s="11" t="n">
        <v>17.7061742472278</v>
      </c>
      <c r="AH39" s="11" t="n">
        <v>18.0943425158073</v>
      </c>
      <c r="AI39" s="11" t="n">
        <v>16.7437321999412</v>
      </c>
      <c r="AJ39" s="11" t="n">
        <v>14.4853390722606</v>
      </c>
      <c r="AK39" s="11" t="n">
        <v>14.1046297358956</v>
      </c>
      <c r="AL39" s="11" t="n">
        <v>13.1969918901707</v>
      </c>
      <c r="AM39" s="11" t="n">
        <v>13.8936659277212</v>
      </c>
      <c r="AN39" s="11" t="n">
        <v>13.0805761062134</v>
      </c>
      <c r="AO39" s="11" t="n">
        <v>12.3232890511427</v>
      </c>
      <c r="AP39" s="11" t="n">
        <v>11.8759903074609</v>
      </c>
      <c r="AQ39" s="11" t="n">
        <v>11.3433024211727</v>
      </c>
      <c r="AR39" s="11" t="n">
        <v>10.7926164991335</v>
      </c>
      <c r="AS39" s="11" t="n">
        <v>9.98759425087427</v>
      </c>
      <c r="AT39" s="11" t="n">
        <v>9.04765999743867</v>
      </c>
      <c r="AU39" s="11" t="n">
        <v>8.64239762273216</v>
      </c>
      <c r="AV39" s="11" t="n">
        <v>7.96815035537836</v>
      </c>
      <c r="AW39" s="11" t="n">
        <v>7.8203896549089</v>
      </c>
      <c r="AX39" s="11" t="n">
        <v>7.62474607738294</v>
      </c>
      <c r="AY39" s="11" t="n">
        <v>5.94667224943902</v>
      </c>
      <c r="AZ39" s="11" t="n">
        <v>5.79301302284648</v>
      </c>
      <c r="BA39" s="11" t="n">
        <v>5.42855531498326</v>
      </c>
      <c r="BB39" s="11" t="n">
        <v>4.79583327378568</v>
      </c>
      <c r="BC39" s="11" t="n">
        <v>4.59113885382787</v>
      </c>
      <c r="BD39" s="11" t="n">
        <v>3.4611433795986</v>
      </c>
      <c r="BE39" s="11" t="n">
        <v>2.75716138658661</v>
      </c>
      <c r="BF39" s="11" t="n">
        <v>2.51703060665899</v>
      </c>
      <c r="BG39" s="11" t="n">
        <v>2.51382973989834</v>
      </c>
      <c r="BH39" s="11" t="n">
        <v>2.50652854056726</v>
      </c>
      <c r="BI39" s="11" t="n">
        <v>2.51365999852431</v>
      </c>
      <c r="BJ39" s="11" t="n">
        <v>2.51050008866156</v>
      </c>
      <c r="BK39" s="11" t="n">
        <v>2.23493143884271</v>
      </c>
      <c r="BL39" s="11" t="n">
        <v>1.92155686982175</v>
      </c>
      <c r="BM39" s="11" t="n">
        <v>1.78599847504326</v>
      </c>
      <c r="BN39" s="11" t="n">
        <v>64.3705132827089</v>
      </c>
      <c r="BO39" s="11" t="n">
        <v>49.8135707913513</v>
      </c>
      <c r="BP39" s="11" t="n">
        <v>35.1529713599557</v>
      </c>
      <c r="BQ39" s="11" t="n">
        <v>21.033832208782</v>
      </c>
    </row>
    <row r="40" customFormat="false" ht="13.8" hidden="false" customHeight="false" outlineLevel="0" collapsed="false">
      <c r="A40" s="11" t="s">
        <v>155</v>
      </c>
      <c r="B40" s="11" t="s">
        <v>148</v>
      </c>
      <c r="C40" s="11" t="s">
        <v>139</v>
      </c>
      <c r="D40" s="12"/>
      <c r="E40" s="11" t="n">
        <v>38.3971105903123</v>
      </c>
      <c r="F40" s="11" t="n">
        <v>38.840159396627</v>
      </c>
      <c r="G40" s="11" t="n">
        <v>38.5233439286584</v>
      </c>
      <c r="H40" s="11" t="n">
        <v>36.2963439295232</v>
      </c>
      <c r="I40" s="11" t="n">
        <v>28.2162379039563</v>
      </c>
      <c r="J40" s="11" t="n">
        <v>29.625253165369</v>
      </c>
      <c r="K40" s="11" t="n">
        <v>27.8666115887724</v>
      </c>
      <c r="L40" s="11" t="n">
        <v>25.7291226237837</v>
      </c>
      <c r="M40" s="11" t="n">
        <v>23.1963243003955</v>
      </c>
      <c r="N40" s="11" t="n">
        <v>20.2992993841232</v>
      </c>
      <c r="O40" s="11" t="n">
        <v>18.430829682086</v>
      </c>
      <c r="P40" s="11" t="n">
        <v>17.0532929167406</v>
      </c>
      <c r="Q40" s="11" t="n">
        <v>16.3147047390261</v>
      </c>
      <c r="R40" s="11" t="n">
        <v>14.6658110661509</v>
      </c>
      <c r="S40" s="11" t="n">
        <v>14.4012737271096</v>
      </c>
      <c r="T40" s="11" t="n">
        <v>12.404961561556</v>
      </c>
      <c r="U40" s="11" t="n">
        <v>11.5114489531859</v>
      </c>
      <c r="V40" s="11" t="n">
        <v>10.9875731526134</v>
      </c>
      <c r="W40" s="11" t="n">
        <v>10.5119020904111</v>
      </c>
      <c r="X40" s="11" t="n">
        <v>10.4329463046104</v>
      </c>
      <c r="Y40" s="11" t="n">
        <v>10.1625910730104</v>
      </c>
      <c r="Z40" s="11" t="n">
        <v>9.80822780572302</v>
      </c>
      <c r="AA40" s="11" t="n">
        <v>9.76119296086785</v>
      </c>
      <c r="AB40" s="11" t="n">
        <v>8.41545417361808</v>
      </c>
      <c r="AC40" s="11" t="n">
        <v>7.98612681470614</v>
      </c>
      <c r="AD40" s="11" t="n">
        <v>7.48596991004613</v>
      </c>
      <c r="AE40" s="11" t="n">
        <v>6.34867734005675</v>
      </c>
      <c r="AF40" s="11" t="n">
        <v>6.21632553860049</v>
      </c>
      <c r="AG40" s="11" t="n">
        <v>6.19022262279324</v>
      </c>
      <c r="AH40" s="11" t="n">
        <v>6.22845747509154</v>
      </c>
      <c r="AI40" s="11" t="n">
        <v>5.7276633840253</v>
      </c>
      <c r="AJ40" s="11" t="n">
        <v>5.37717563045279</v>
      </c>
      <c r="AK40" s="11" t="n">
        <v>5.02048771133194</v>
      </c>
      <c r="AL40" s="11" t="n">
        <v>4.73617627978687</v>
      </c>
      <c r="AM40" s="11" t="n">
        <v>4.6683400584518</v>
      </c>
      <c r="AN40" s="11" t="n">
        <v>4.60818214072732</v>
      </c>
      <c r="AO40" s="11" t="n">
        <v>4.5132521960876</v>
      </c>
      <c r="AP40" s="11" t="n">
        <v>4.42836300944687</v>
      </c>
      <c r="AQ40" s="11" t="n">
        <v>4.33504168505129</v>
      </c>
      <c r="AR40" s="11" t="n">
        <v>4.26727728406156</v>
      </c>
      <c r="AS40" s="11" t="n">
        <v>4.1618057624519</v>
      </c>
      <c r="AT40" s="11" t="n">
        <v>4.08390960957559</v>
      </c>
      <c r="AU40" s="11" t="n">
        <v>4.00203362362579</v>
      </c>
      <c r="AV40" s="11" t="n">
        <v>3.92099518021164</v>
      </c>
      <c r="AW40" s="11" t="n">
        <v>3.91122421548609</v>
      </c>
      <c r="AX40" s="11" t="n">
        <v>3.90329083481324</v>
      </c>
      <c r="AY40" s="11" t="n">
        <v>3.84481600166971</v>
      </c>
      <c r="AZ40" s="11" t="n">
        <v>3.7976161839907</v>
      </c>
      <c r="BA40" s="11" t="n">
        <v>3.79400015565427</v>
      </c>
      <c r="BB40" s="11" t="n">
        <v>3.7759729732331</v>
      </c>
      <c r="BC40" s="11" t="n">
        <v>3.76885608006965</v>
      </c>
      <c r="BD40" s="11" t="n">
        <v>3.70815559022752</v>
      </c>
      <c r="BE40" s="11" t="n">
        <v>3.67002933667305</v>
      </c>
      <c r="BF40" s="11" t="n">
        <v>3.66231179000805</v>
      </c>
      <c r="BG40" s="11" t="n">
        <v>3.65876258264706</v>
      </c>
      <c r="BH40" s="11" t="n">
        <v>3.65457278838883</v>
      </c>
      <c r="BI40" s="11" t="n">
        <v>3.65168890395992</v>
      </c>
      <c r="BJ40" s="11" t="n">
        <v>3.63997932012981</v>
      </c>
      <c r="BK40" s="11" t="n">
        <v>3.62690637007528</v>
      </c>
      <c r="BL40" s="11" t="n">
        <v>3.61338299177007</v>
      </c>
      <c r="BM40" s="11" t="n">
        <v>3.60672947880083</v>
      </c>
      <c r="BN40" s="11" t="n">
        <v>22.9543136845005</v>
      </c>
      <c r="BO40" s="11" t="n">
        <v>20.8500679647661</v>
      </c>
      <c r="BP40" s="11" t="n">
        <v>19.3779424161714</v>
      </c>
      <c r="BQ40" s="11" t="n">
        <v>18.7170141358576</v>
      </c>
    </row>
    <row r="41" customFormat="false" ht="13.8" hidden="false" customHeight="false" outlineLevel="0" collapsed="false">
      <c r="A41" s="11" t="s">
        <v>156</v>
      </c>
      <c r="B41" s="11" t="s">
        <v>148</v>
      </c>
      <c r="C41" s="11" t="s">
        <v>139</v>
      </c>
      <c r="D41" s="12"/>
      <c r="E41" s="11" t="n">
        <v>0.303920784829808</v>
      </c>
      <c r="F41" s="11" t="n">
        <v>0.303083966865386</v>
      </c>
      <c r="G41" s="11" t="n">
        <v>0.321051630572129</v>
      </c>
      <c r="H41" s="11" t="n">
        <v>0.343248195466442</v>
      </c>
      <c r="I41" s="11" t="n">
        <v>0.356726548009225</v>
      </c>
      <c r="J41" s="11" t="n">
        <v>0.368993059077956</v>
      </c>
      <c r="K41" s="11" t="n">
        <v>0.378464082091885</v>
      </c>
      <c r="L41" s="11" t="n">
        <v>0.404049062120868</v>
      </c>
      <c r="M41" s="11" t="n">
        <v>0.435925098844666</v>
      </c>
      <c r="N41" s="11" t="n">
        <v>0.442894292416789</v>
      </c>
      <c r="O41" s="11" t="n">
        <v>0.440832972272152</v>
      </c>
      <c r="P41" s="11" t="n">
        <v>0.46202476197879</v>
      </c>
      <c r="Q41" s="11" t="n">
        <v>0.491979479550146</v>
      </c>
      <c r="R41" s="11" t="n">
        <v>0.432768472682193</v>
      </c>
      <c r="S41" s="11" t="n">
        <v>0.421690806993512</v>
      </c>
      <c r="T41" s="11" t="n">
        <v>0.412567690229287</v>
      </c>
      <c r="U41" s="11" t="n">
        <v>0.382106826564727</v>
      </c>
      <c r="V41" s="11" t="n">
        <v>0.370533797808131</v>
      </c>
      <c r="W41" s="11" t="n">
        <v>0.362480367766962</v>
      </c>
      <c r="X41" s="11" t="n">
        <v>0.356885221034281</v>
      </c>
      <c r="Y41" s="11" t="n">
        <v>0.348954255272358</v>
      </c>
      <c r="Z41" s="11" t="n">
        <v>0.325546691296434</v>
      </c>
      <c r="AA41" s="11" t="n">
        <v>0.299449554901443</v>
      </c>
      <c r="AB41" s="11" t="n">
        <v>0.290683389853854</v>
      </c>
      <c r="AC41" s="11" t="n">
        <v>0.287881584763926</v>
      </c>
      <c r="AD41" s="11" t="n">
        <v>0.307945347136171</v>
      </c>
      <c r="AE41" s="11" t="n">
        <v>0.309492640800496</v>
      </c>
      <c r="AF41" s="11" t="n">
        <v>0.299541993234148</v>
      </c>
      <c r="AG41" s="11" t="n">
        <v>0.297538481078085</v>
      </c>
      <c r="AH41" s="11" t="n">
        <v>0.304389812741819</v>
      </c>
      <c r="AI41" s="11" t="n">
        <v>0.29275003185294</v>
      </c>
      <c r="AJ41" s="11" t="n">
        <v>0.248570431356126</v>
      </c>
      <c r="AK41" s="11" t="n">
        <v>0.231921785589458</v>
      </c>
      <c r="AL41" s="11" t="n">
        <v>0.225466865921583</v>
      </c>
      <c r="AM41" s="11" t="n">
        <v>0.297444411489782</v>
      </c>
      <c r="AN41" s="11" t="n">
        <v>0.279515774336703</v>
      </c>
      <c r="AO41" s="11" t="n">
        <v>0.271117741636031</v>
      </c>
      <c r="AP41" s="11" t="n">
        <v>0.259826594914702</v>
      </c>
      <c r="AQ41" s="11" t="n">
        <v>0.252551758120266</v>
      </c>
      <c r="AR41" s="11" t="n">
        <v>0.242641902370846</v>
      </c>
      <c r="AS41" s="11" t="n">
        <v>0.233218003086928</v>
      </c>
      <c r="AT41" s="11" t="n">
        <v>0.22053906038247</v>
      </c>
      <c r="AU41" s="11" t="n">
        <v>0.203643509593306</v>
      </c>
      <c r="AV41" s="11" t="n">
        <v>0.186312550598976</v>
      </c>
      <c r="AW41" s="11" t="n">
        <v>0.184860008589182</v>
      </c>
      <c r="AX41" s="11" t="n">
        <v>0.182500573003159</v>
      </c>
      <c r="AY41" s="11" t="n">
        <v>0.162360845078634</v>
      </c>
      <c r="AZ41" s="11" t="n">
        <v>0.0674546792871321</v>
      </c>
      <c r="BA41" s="11" t="n">
        <v>0.0673403531980415</v>
      </c>
      <c r="BB41" s="11" t="n">
        <v>0.058502968309159</v>
      </c>
      <c r="BC41" s="11" t="n">
        <v>0.0581678143369751</v>
      </c>
      <c r="BD41" s="11" t="n">
        <v>0.0373879612676025</v>
      </c>
      <c r="BE41" s="11" t="n">
        <v>0.0277102342592243</v>
      </c>
      <c r="BF41" s="11" t="n">
        <v>0.027709777437008</v>
      </c>
      <c r="BG41" s="11" t="n">
        <v>0.02765675169948</v>
      </c>
      <c r="BH41" s="11" t="n">
        <v>0.0240764958787409</v>
      </c>
      <c r="BI41" s="11" t="n">
        <v>0.024233037896432</v>
      </c>
      <c r="BJ41" s="11" t="n">
        <v>0.0232321758114532</v>
      </c>
      <c r="BK41" s="11" t="n">
        <v>0.0174688939437664</v>
      </c>
      <c r="BL41" s="11" t="n">
        <v>0.0128977331393986</v>
      </c>
      <c r="BM41" s="11" t="n">
        <v>0.0103055391778412</v>
      </c>
      <c r="BN41" s="11" t="n">
        <v>1.3333713882988</v>
      </c>
      <c r="BO41" s="11" t="n">
        <v>1.15259423355382</v>
      </c>
      <c r="BP41" s="11" t="n">
        <v>0.783488656557083</v>
      </c>
      <c r="BQ41" s="11" t="n">
        <v>0.249109331371002</v>
      </c>
    </row>
    <row r="42" customFormat="false" ht="35" hidden="false" customHeight="true" outlineLevel="0" collapsed="false">
      <c r="A42" s="11" t="s">
        <v>154</v>
      </c>
      <c r="B42" s="11" t="s">
        <v>149</v>
      </c>
      <c r="C42" s="11" t="s">
        <v>139</v>
      </c>
      <c r="D42" s="12"/>
      <c r="E42" s="11" t="n">
        <v>136.245108905043</v>
      </c>
      <c r="F42" s="11" t="n">
        <v>137.62061970106</v>
      </c>
      <c r="G42" s="11" t="n">
        <v>134.828761559928</v>
      </c>
      <c r="H42" s="11" t="n">
        <v>132.68851957052</v>
      </c>
      <c r="I42" s="11" t="n">
        <v>133.600135399625</v>
      </c>
      <c r="J42" s="11" t="n">
        <v>132.056323440813</v>
      </c>
      <c r="K42" s="11" t="n">
        <v>133.856580105314</v>
      </c>
      <c r="L42" s="11" t="n">
        <v>132.049843751783</v>
      </c>
      <c r="M42" s="11" t="n">
        <v>130.663956696563</v>
      </c>
      <c r="N42" s="11" t="n">
        <v>129.178350005724</v>
      </c>
      <c r="O42" s="11" t="n">
        <v>127.598200710292</v>
      </c>
      <c r="P42" s="11" t="n">
        <v>122.312797758021</v>
      </c>
      <c r="Q42" s="11" t="n">
        <v>115.092792861683</v>
      </c>
      <c r="R42" s="11" t="n">
        <v>117.7541915107</v>
      </c>
      <c r="S42" s="11" t="n">
        <v>116.937534046915</v>
      </c>
      <c r="T42" s="11" t="n">
        <v>117.837608040088</v>
      </c>
      <c r="U42" s="11" t="n">
        <v>113.840647288675</v>
      </c>
      <c r="V42" s="11" t="n">
        <v>114.075819950292</v>
      </c>
      <c r="W42" s="11" t="n">
        <v>105.304246430547</v>
      </c>
      <c r="X42" s="11" t="n">
        <v>87.8523266258183</v>
      </c>
      <c r="Y42" s="11" t="n">
        <v>91.4256378312057</v>
      </c>
      <c r="Z42" s="11" t="n">
        <v>88.4778007310634</v>
      </c>
      <c r="AA42" s="11" t="n">
        <v>85.3506356640512</v>
      </c>
      <c r="AB42" s="11" t="n">
        <v>88.6030371200189</v>
      </c>
      <c r="AC42" s="11" t="n">
        <v>85.347023459208</v>
      </c>
      <c r="AD42" s="11" t="n">
        <v>81.763630300401</v>
      </c>
      <c r="AE42" s="11" t="n">
        <v>75.610790985147</v>
      </c>
      <c r="AF42" s="11" t="n">
        <v>75.7116307017256</v>
      </c>
      <c r="AG42" s="11" t="n">
        <v>74.0859798852661</v>
      </c>
      <c r="AH42" s="11" t="n">
        <v>72.2506275974156</v>
      </c>
      <c r="AI42" s="11" t="n">
        <v>67.6585223144458</v>
      </c>
      <c r="AJ42" s="11" t="n">
        <v>67.2420355291553</v>
      </c>
      <c r="AK42" s="11" t="n">
        <v>64.7138928474242</v>
      </c>
      <c r="AL42" s="11" t="n">
        <v>63.4655064955989</v>
      </c>
      <c r="AM42" s="11" t="n">
        <v>53.8265487822321</v>
      </c>
      <c r="AN42" s="11" t="n">
        <v>51.8491973977625</v>
      </c>
      <c r="AO42" s="11" t="n">
        <v>50.9782273873668</v>
      </c>
      <c r="AP42" s="11" t="n">
        <v>50.7827423309752</v>
      </c>
      <c r="AQ42" s="11" t="n">
        <v>50.4404215096447</v>
      </c>
      <c r="AR42" s="11" t="n">
        <v>50.1176325144922</v>
      </c>
      <c r="AS42" s="11" t="n">
        <v>49.7350149736593</v>
      </c>
      <c r="AT42" s="11" t="n">
        <v>49.4996449271138</v>
      </c>
      <c r="AU42" s="11" t="n">
        <v>49.3692194694066</v>
      </c>
      <c r="AV42" s="11" t="n">
        <v>49.2864862221932</v>
      </c>
      <c r="AW42" s="11" t="n">
        <v>48.9342590722935</v>
      </c>
      <c r="AX42" s="11" t="n">
        <v>48.7879866916089</v>
      </c>
      <c r="AY42" s="11" t="n">
        <v>48.706355323003</v>
      </c>
      <c r="AZ42" s="11" t="n">
        <v>48.8460244641011</v>
      </c>
      <c r="BA42" s="11" t="n">
        <v>48.9250757671769</v>
      </c>
      <c r="BB42" s="11" t="n">
        <v>49.1259743846497</v>
      </c>
      <c r="BC42" s="11" t="n">
        <v>49.6567713335766</v>
      </c>
      <c r="BD42" s="11" t="n">
        <v>50.4999274249489</v>
      </c>
      <c r="BE42" s="11" t="n">
        <v>50.8635047798889</v>
      </c>
      <c r="BF42" s="11" t="n">
        <v>51.2458106527756</v>
      </c>
      <c r="BG42" s="11" t="n">
        <v>51.5585494860898</v>
      </c>
      <c r="BH42" s="11" t="n">
        <v>51.9956977763906</v>
      </c>
      <c r="BI42" s="11" t="n">
        <v>52.5188985197802</v>
      </c>
      <c r="BJ42" s="11" t="n">
        <v>52.9150475016355</v>
      </c>
      <c r="BK42" s="11" t="n">
        <v>53.4397753356366</v>
      </c>
      <c r="BL42" s="11" t="n">
        <v>53.9871104615732</v>
      </c>
      <c r="BM42" s="11" t="n">
        <v>54.497225820261</v>
      </c>
      <c r="BN42" s="11" t="n">
        <v>270.902222393936</v>
      </c>
      <c r="BO42" s="11" t="n">
        <v>249.161933394317</v>
      </c>
      <c r="BP42" s="11" t="n">
        <v>244.5611117732</v>
      </c>
      <c r="BQ42" s="11" t="n">
        <v>249.071253690241</v>
      </c>
    </row>
    <row r="43" customFormat="false" ht="13.8" hidden="false" customHeight="false" outlineLevel="0" collapsed="false">
      <c r="A43" s="11" t="s">
        <v>155</v>
      </c>
      <c r="B43" s="11" t="s">
        <v>149</v>
      </c>
      <c r="C43" s="11" t="s">
        <v>139</v>
      </c>
      <c r="D43" s="12"/>
      <c r="E43" s="11" t="n">
        <v>0.457575552012764</v>
      </c>
      <c r="F43" s="11" t="n">
        <v>0.451979215303785</v>
      </c>
      <c r="G43" s="11" t="n">
        <v>0.465367800776867</v>
      </c>
      <c r="H43" s="11" t="n">
        <v>0.446783444012464</v>
      </c>
      <c r="I43" s="11" t="n">
        <v>0.459278684626581</v>
      </c>
      <c r="J43" s="11" t="n">
        <v>0.397871155935988</v>
      </c>
      <c r="K43" s="11" t="n">
        <v>0.417995621212273</v>
      </c>
      <c r="L43" s="11" t="n">
        <v>0.383004512936905</v>
      </c>
      <c r="M43" s="11" t="n">
        <v>0.322517661442731</v>
      </c>
      <c r="N43" s="11" t="n">
        <v>0.28812331205578</v>
      </c>
      <c r="O43" s="11" t="n">
        <v>0.271627817510447</v>
      </c>
      <c r="P43" s="11" t="n">
        <v>0.262990517445267</v>
      </c>
      <c r="Q43" s="11" t="n">
        <v>0.263173280352121</v>
      </c>
      <c r="R43" s="11" t="n">
        <v>0.288126009501826</v>
      </c>
      <c r="S43" s="11" t="n">
        <v>0.272632149807214</v>
      </c>
      <c r="T43" s="11" t="n">
        <v>0.253194192532595</v>
      </c>
      <c r="U43" s="11" t="n">
        <v>0.254614260594322</v>
      </c>
      <c r="V43" s="11" t="n">
        <v>0.258882185808725</v>
      </c>
      <c r="W43" s="11" t="n">
        <v>0.216859538124872</v>
      </c>
      <c r="X43" s="11" t="n">
        <v>0.214608812412103</v>
      </c>
      <c r="Y43" s="11" t="n">
        <v>0.230964380759176</v>
      </c>
      <c r="Z43" s="11" t="n">
        <v>0.219383297989039</v>
      </c>
      <c r="AA43" s="11" t="n">
        <v>0.225521371708898</v>
      </c>
      <c r="AB43" s="11" t="n">
        <v>0.24081905059978</v>
      </c>
      <c r="AC43" s="11" t="n">
        <v>0.245119052102224</v>
      </c>
      <c r="AD43" s="11" t="n">
        <v>0.199127875191488</v>
      </c>
      <c r="AE43" s="11" t="n">
        <v>0.205945135284397</v>
      </c>
      <c r="AF43" s="11" t="n">
        <v>0.202679861428223</v>
      </c>
      <c r="AG43" s="11" t="n">
        <v>0.189895536158066</v>
      </c>
      <c r="AH43" s="11" t="n">
        <v>0.212038828112416</v>
      </c>
      <c r="AI43" s="11" t="n">
        <v>0.210800569839967</v>
      </c>
      <c r="AJ43" s="11" t="n">
        <v>0.184148466819228</v>
      </c>
      <c r="AK43" s="11" t="n">
        <v>0.157933079979843</v>
      </c>
      <c r="AL43" s="11" t="n">
        <v>0.144182992652412</v>
      </c>
      <c r="AM43" s="11" t="n">
        <v>0.131857151900525</v>
      </c>
      <c r="AN43" s="11" t="n">
        <v>0.12963937351575</v>
      </c>
      <c r="AO43" s="11" t="n">
        <v>0.129428853463458</v>
      </c>
      <c r="AP43" s="11" t="n">
        <v>0.129108316984962</v>
      </c>
      <c r="AQ43" s="11" t="n">
        <v>0.12968281966132</v>
      </c>
      <c r="AR43" s="11" t="n">
        <v>0.129619709709798</v>
      </c>
      <c r="AS43" s="11" t="n">
        <v>0.129432017759179</v>
      </c>
      <c r="AT43" s="11" t="n">
        <v>0.129838227068416</v>
      </c>
      <c r="AU43" s="11" t="n">
        <v>0.129825933812442</v>
      </c>
      <c r="AV43" s="11" t="n">
        <v>0.129101079176367</v>
      </c>
      <c r="AW43" s="11" t="n">
        <v>0.127358858843556</v>
      </c>
      <c r="AX43" s="11" t="n">
        <v>0.12412831226789</v>
      </c>
      <c r="AY43" s="11" t="n">
        <v>0.120914425097348</v>
      </c>
      <c r="AZ43" s="11" t="n">
        <v>0.116063128642145</v>
      </c>
      <c r="BA43" s="11" t="n">
        <v>0.113132299654499</v>
      </c>
      <c r="BB43" s="11" t="n">
        <v>0.112338575040413</v>
      </c>
      <c r="BC43" s="11" t="n">
        <v>0.11310466853293</v>
      </c>
      <c r="BD43" s="11" t="n">
        <v>0.113625870356558</v>
      </c>
      <c r="BE43" s="11" t="n">
        <v>0.113710013097096</v>
      </c>
      <c r="BF43" s="11" t="n">
        <v>0.11503618598071</v>
      </c>
      <c r="BG43" s="11" t="n">
        <v>0.116371091269078</v>
      </c>
      <c r="BH43" s="11" t="n">
        <v>0.117577270134678</v>
      </c>
      <c r="BI43" s="11" t="n">
        <v>0.118693579329807</v>
      </c>
      <c r="BJ43" s="11" t="n">
        <v>0.11967981339946</v>
      </c>
      <c r="BK43" s="11" t="n">
        <v>0.120968668017248</v>
      </c>
      <c r="BL43" s="11" t="n">
        <v>0.122375325165906</v>
      </c>
      <c r="BM43" s="11" t="n">
        <v>0.123924686432419</v>
      </c>
      <c r="BN43" s="11" t="n">
        <v>0.664216688517108</v>
      </c>
      <c r="BO43" s="11" t="n">
        <v>0.648398708011154</v>
      </c>
      <c r="BP43" s="11" t="n">
        <v>0.617565804027305</v>
      </c>
      <c r="BQ43" s="11" t="n">
        <v>0.565911426681497</v>
      </c>
    </row>
    <row r="44" customFormat="false" ht="13.8" hidden="false" customHeight="false" outlineLevel="0" collapsed="false">
      <c r="A44" s="11" t="s">
        <v>156</v>
      </c>
      <c r="B44" s="11" t="s">
        <v>149</v>
      </c>
      <c r="C44" s="11" t="s">
        <v>139</v>
      </c>
      <c r="D44" s="12"/>
      <c r="E44" s="11" t="n">
        <v>21.6177652994888</v>
      </c>
      <c r="F44" s="11" t="n">
        <v>21.7672335084719</v>
      </c>
      <c r="G44" s="11" t="n">
        <v>17.8903189800406</v>
      </c>
      <c r="H44" s="11" t="n">
        <v>14.5239978531724</v>
      </c>
      <c r="I44" s="11" t="n">
        <v>14.5077036497304</v>
      </c>
      <c r="J44" s="11" t="n">
        <v>13.1501106808945</v>
      </c>
      <c r="K44" s="11" t="n">
        <v>13.0090416999379</v>
      </c>
      <c r="L44" s="11" t="n">
        <v>13.1585378500981</v>
      </c>
      <c r="M44" s="11" t="n">
        <v>13.3850568767202</v>
      </c>
      <c r="N44" s="11" t="n">
        <v>4.90749810674949</v>
      </c>
      <c r="O44" s="11" t="n">
        <v>5.07364558948498</v>
      </c>
      <c r="P44" s="11" t="n">
        <v>4.45325880525414</v>
      </c>
      <c r="Q44" s="11" t="n">
        <v>3.01842197338898</v>
      </c>
      <c r="R44" s="11" t="n">
        <v>2.81505100334472</v>
      </c>
      <c r="S44" s="11" t="n">
        <v>3.63996062651573</v>
      </c>
      <c r="T44" s="11" t="n">
        <v>3.04427919407891</v>
      </c>
      <c r="U44" s="11" t="n">
        <v>2.54557292799599</v>
      </c>
      <c r="V44" s="11" t="n">
        <v>2.90942202484568</v>
      </c>
      <c r="W44" s="11" t="n">
        <v>2.72152512967184</v>
      </c>
      <c r="X44" s="11" t="n">
        <v>1.44743896649675</v>
      </c>
      <c r="Y44" s="11" t="n">
        <v>1.57729522759961</v>
      </c>
      <c r="Z44" s="11" t="n">
        <v>0.759835128682743</v>
      </c>
      <c r="AA44" s="11" t="n">
        <v>0.689927058145181</v>
      </c>
      <c r="AB44" s="11" t="n">
        <v>0.671846126192616</v>
      </c>
      <c r="AC44" s="11" t="n">
        <v>0.710807215554164</v>
      </c>
      <c r="AD44" s="11" t="n">
        <v>0.675534461273333</v>
      </c>
      <c r="AE44" s="11" t="n">
        <v>0.644171223541193</v>
      </c>
      <c r="AF44" s="11" t="n">
        <v>0.655595617940846</v>
      </c>
      <c r="AG44" s="11" t="n">
        <v>0.671057262333068</v>
      </c>
      <c r="AH44" s="11" t="n">
        <v>0.665186983520861</v>
      </c>
      <c r="AI44" s="11" t="n">
        <v>0.562024686597679</v>
      </c>
      <c r="AJ44" s="11" t="n">
        <v>0.532178473754611</v>
      </c>
      <c r="AK44" s="11" t="n">
        <v>0.466551853454805</v>
      </c>
      <c r="AL44" s="11" t="n">
        <v>0.477826020714757</v>
      </c>
      <c r="AM44" s="11" t="n">
        <v>0.505082913383914</v>
      </c>
      <c r="AN44" s="11" t="n">
        <v>0.504759567342861</v>
      </c>
      <c r="AO44" s="11" t="n">
        <v>0.505154103277653</v>
      </c>
      <c r="AP44" s="11" t="n">
        <v>0.505577655000459</v>
      </c>
      <c r="AQ44" s="11" t="n">
        <v>0.506718930644129</v>
      </c>
      <c r="AR44" s="11" t="n">
        <v>0.508353026046739</v>
      </c>
      <c r="AS44" s="11" t="n">
        <v>0.510435701599759</v>
      </c>
      <c r="AT44" s="11" t="n">
        <v>0.511817586584847</v>
      </c>
      <c r="AU44" s="11" t="n">
        <v>0.51261201769342</v>
      </c>
      <c r="AV44" s="11" t="n">
        <v>0.5125379837479</v>
      </c>
      <c r="AW44" s="11" t="n">
        <v>0.511761254225446</v>
      </c>
      <c r="AX44" s="11" t="n">
        <v>0.509198134453433</v>
      </c>
      <c r="AY44" s="11" t="n">
        <v>0.506074668492805</v>
      </c>
      <c r="AZ44" s="11" t="n">
        <v>0.502104516243721</v>
      </c>
      <c r="BA44" s="11" t="n">
        <v>0.501392907682653</v>
      </c>
      <c r="BB44" s="11" t="n">
        <v>0.503807129816796</v>
      </c>
      <c r="BC44" s="11" t="n">
        <v>0.506887467190995</v>
      </c>
      <c r="BD44" s="11" t="n">
        <v>0.509863145899343</v>
      </c>
      <c r="BE44" s="11" t="n">
        <v>0.512204235643981</v>
      </c>
      <c r="BF44" s="11" t="n">
        <v>0.516126593898702</v>
      </c>
      <c r="BG44" s="11" t="n">
        <v>0.520079490202386</v>
      </c>
      <c r="BH44" s="11" t="n">
        <v>0.523865622754051</v>
      </c>
      <c r="BI44" s="11" t="n">
        <v>0.528051520536681</v>
      </c>
      <c r="BJ44" s="11" t="n">
        <v>0.532121049452151</v>
      </c>
      <c r="BK44" s="11" t="n">
        <v>0.536546498337735</v>
      </c>
      <c r="BL44" s="11" t="n">
        <v>0.541177551781115</v>
      </c>
      <c r="BM44" s="11" t="n">
        <v>0.545964740478516</v>
      </c>
      <c r="BN44" s="11" t="n">
        <v>2.49840025971964</v>
      </c>
      <c r="BO44" s="11" t="n">
        <v>2.54993726256889</v>
      </c>
      <c r="BP44" s="11" t="n">
        <v>2.54167655716331</v>
      </c>
      <c r="BQ44" s="11" t="n">
        <v>2.53415488623377</v>
      </c>
    </row>
    <row r="45" customFormat="false" ht="35" hidden="false" customHeight="true" outlineLevel="0" collapsed="false">
      <c r="A45" s="11" t="s">
        <v>154</v>
      </c>
      <c r="B45" s="11" t="s">
        <v>150</v>
      </c>
      <c r="C45" s="11" t="s">
        <v>139</v>
      </c>
      <c r="D45" s="12"/>
      <c r="E45" s="11" t="n">
        <v>3.1366894759255</v>
      </c>
      <c r="F45" s="11" t="n">
        <v>2.64590035922343</v>
      </c>
      <c r="G45" s="11" t="n">
        <v>1.8477796127697</v>
      </c>
      <c r="H45" s="11" t="n">
        <v>1.28644704484234</v>
      </c>
      <c r="I45" s="11" t="n">
        <v>0.874250413453483</v>
      </c>
      <c r="J45" s="11" t="n">
        <v>0.914786030229379</v>
      </c>
      <c r="K45" s="11" t="n">
        <v>-0.0331843899851094</v>
      </c>
      <c r="L45" s="11" t="n">
        <v>-0.570116711922319</v>
      </c>
      <c r="M45" s="11" t="n">
        <v>-1.31261009502556</v>
      </c>
      <c r="N45" s="11" t="n">
        <v>-1.1527813422767</v>
      </c>
      <c r="O45" s="11" t="n">
        <v>-1.40670380967501</v>
      </c>
      <c r="P45" s="11" t="n">
        <v>-2.01600133506448</v>
      </c>
      <c r="Q45" s="11" t="n">
        <v>-2.8167138123045</v>
      </c>
      <c r="R45" s="11" t="n">
        <v>-3.01042462337194</v>
      </c>
      <c r="S45" s="11" t="n">
        <v>-3.79526905497162</v>
      </c>
      <c r="T45" s="11" t="n">
        <v>-4.15564157030236</v>
      </c>
      <c r="U45" s="11" t="n">
        <v>-4.54066725216173</v>
      </c>
      <c r="V45" s="11" t="n">
        <v>-5.16844986065019</v>
      </c>
      <c r="W45" s="11" t="n">
        <v>-5.81241863383177</v>
      </c>
      <c r="X45" s="11" t="n">
        <v>-5.87396675511639</v>
      </c>
      <c r="Y45" s="11" t="n">
        <v>-5.97209992665329</v>
      </c>
      <c r="Z45" s="11" t="n">
        <v>-6.63567006740149</v>
      </c>
      <c r="AA45" s="11" t="n">
        <v>-6.49128567659346</v>
      </c>
      <c r="AB45" s="11" t="n">
        <v>-6.59749608917909</v>
      </c>
      <c r="AC45" s="11" t="n">
        <v>-6.87194202695989</v>
      </c>
      <c r="AD45" s="11" t="n">
        <v>-7.00891055588537</v>
      </c>
      <c r="AE45" s="11" t="n">
        <v>-6.66972443253557</v>
      </c>
      <c r="AF45" s="11" t="n">
        <v>-6.92671811874823</v>
      </c>
      <c r="AG45" s="11" t="n">
        <v>-6.32774799319137</v>
      </c>
      <c r="AH45" s="11" t="n">
        <v>-6.48051567178737</v>
      </c>
      <c r="AI45" s="11" t="n">
        <v>-6.591638799743</v>
      </c>
      <c r="AJ45" s="11" t="n">
        <v>-6.75838645693147</v>
      </c>
      <c r="AK45" s="11" t="n">
        <v>-6.48332850914311</v>
      </c>
      <c r="AL45" s="11" t="n">
        <v>-5.94650504084319</v>
      </c>
      <c r="AM45" s="11" t="n">
        <v>-6.31465780867662</v>
      </c>
      <c r="AN45" s="11" t="n">
        <v>-6.28112842251987</v>
      </c>
      <c r="AO45" s="11" t="n">
        <v>-6.23439944822025</v>
      </c>
      <c r="AP45" s="11" t="n">
        <v>-6.16395446929955</v>
      </c>
      <c r="AQ45" s="11" t="n">
        <v>-6.20979072918648</v>
      </c>
      <c r="AR45" s="11" t="n">
        <v>-6.10566807175222</v>
      </c>
      <c r="AS45" s="11" t="n">
        <v>-5.99361772652228</v>
      </c>
      <c r="AT45" s="11" t="n">
        <v>-5.73642473396157</v>
      </c>
      <c r="AU45" s="11" t="n">
        <v>-5.46820197533959</v>
      </c>
      <c r="AV45" s="11" t="n">
        <v>-5.1420409270604</v>
      </c>
      <c r="AW45" s="11" t="n">
        <v>-4.79418888361432</v>
      </c>
      <c r="AX45" s="11" t="n">
        <v>-4.4496377101011</v>
      </c>
      <c r="AY45" s="11" t="n">
        <v>-4.11629335956163</v>
      </c>
      <c r="AZ45" s="11" t="n">
        <v>-3.82003642734051</v>
      </c>
      <c r="BA45" s="11" t="n">
        <v>-3.59155561246193</v>
      </c>
      <c r="BB45" s="11" t="n">
        <v>-3.36393462173589</v>
      </c>
      <c r="BC45" s="11" t="n">
        <v>-3.17261853477081</v>
      </c>
      <c r="BD45" s="11" t="n">
        <v>-2.97679186653073</v>
      </c>
      <c r="BE45" s="11" t="n">
        <v>-2.85322572848525</v>
      </c>
      <c r="BF45" s="11" t="n">
        <v>-2.77681791863141</v>
      </c>
      <c r="BG45" s="11" t="n">
        <v>-2.72420655163424</v>
      </c>
      <c r="BH45" s="11" t="n">
        <v>-2.71444533306655</v>
      </c>
      <c r="BI45" s="11" t="n">
        <v>-2.67926553675099</v>
      </c>
      <c r="BJ45" s="11" t="n">
        <v>-2.6716793105756</v>
      </c>
      <c r="BK45" s="11" t="n">
        <v>-2.71229873645533</v>
      </c>
      <c r="BL45" s="11" t="n">
        <v>-2.76019142104397</v>
      </c>
      <c r="BM45" s="11" t="n">
        <v>-2.82359882358394</v>
      </c>
      <c r="BN45" s="11" t="n">
        <v>-30.9406451895595</v>
      </c>
      <c r="BO45" s="11" t="n">
        <v>-29.5137032367621</v>
      </c>
      <c r="BP45" s="11" t="n">
        <v>-22.322197307678</v>
      </c>
      <c r="BQ45" s="11" t="n">
        <v>-15.9581263639846</v>
      </c>
    </row>
    <row r="46" customFormat="false" ht="13.8" hidden="false" customHeight="false" outlineLevel="0" collapsed="false">
      <c r="A46" s="11" t="s">
        <v>155</v>
      </c>
      <c r="B46" s="11" t="s">
        <v>150</v>
      </c>
      <c r="C46" s="11" t="s">
        <v>139</v>
      </c>
      <c r="D46" s="12"/>
      <c r="E46" s="11" t="n">
        <v>5.56985359058886</v>
      </c>
      <c r="F46" s="11" t="n">
        <v>5.56430361710572</v>
      </c>
      <c r="G46" s="11" t="n">
        <v>5.55186504357903</v>
      </c>
      <c r="H46" s="11" t="n">
        <v>5.54746647872345</v>
      </c>
      <c r="I46" s="11" t="n">
        <v>5.53902951394119</v>
      </c>
      <c r="J46" s="11" t="n">
        <v>5.54965155198649</v>
      </c>
      <c r="K46" s="11" t="n">
        <v>5.53405930164696</v>
      </c>
      <c r="L46" s="11" t="n">
        <v>5.53275439592587</v>
      </c>
      <c r="M46" s="11" t="n">
        <v>5.52090773899383</v>
      </c>
      <c r="N46" s="11" t="n">
        <v>5.51032845283192</v>
      </c>
      <c r="O46" s="11" t="n">
        <v>5.53126685111144</v>
      </c>
      <c r="P46" s="11" t="n">
        <v>5.53557792459205</v>
      </c>
      <c r="Q46" s="11" t="n">
        <v>5.54022506047871</v>
      </c>
      <c r="R46" s="11" t="n">
        <v>5.57497247909675</v>
      </c>
      <c r="S46" s="11" t="n">
        <v>5.5512000043192</v>
      </c>
      <c r="T46" s="11" t="n">
        <v>5.56596570607276</v>
      </c>
      <c r="U46" s="11" t="n">
        <v>5.56539221894618</v>
      </c>
      <c r="V46" s="11" t="n">
        <v>5.58314839211735</v>
      </c>
      <c r="W46" s="11" t="n">
        <v>5.57797283010561</v>
      </c>
      <c r="X46" s="11" t="n">
        <v>5.57878522339054</v>
      </c>
      <c r="Y46" s="11" t="n">
        <v>5.60501096444991</v>
      </c>
      <c r="Z46" s="11" t="n">
        <v>5.62372281146322</v>
      </c>
      <c r="AA46" s="11" t="n">
        <v>5.61193731105979</v>
      </c>
      <c r="AB46" s="11" t="n">
        <v>5.62617031143544</v>
      </c>
      <c r="AC46" s="11" t="n">
        <v>5.60602836886574</v>
      </c>
      <c r="AD46" s="11" t="n">
        <v>5.62278898771432</v>
      </c>
      <c r="AE46" s="11" t="n">
        <v>5.64143854355453</v>
      </c>
      <c r="AF46" s="11" t="n">
        <v>5.63907784389891</v>
      </c>
      <c r="AG46" s="11" t="n">
        <v>5.69160270708722</v>
      </c>
      <c r="AH46" s="11" t="n">
        <v>5.70956542589149</v>
      </c>
      <c r="AI46" s="11" t="n">
        <v>5.68909600002544</v>
      </c>
      <c r="AJ46" s="11" t="n">
        <v>5.69657165648638</v>
      </c>
      <c r="AK46" s="11" t="n">
        <v>5.71939302059152</v>
      </c>
      <c r="AL46" s="11" t="n">
        <v>5.75129142539663</v>
      </c>
      <c r="AM46" s="11" t="n">
        <v>5.77843961940047</v>
      </c>
      <c r="AN46" s="11" t="n">
        <v>5.82893431121417</v>
      </c>
      <c r="AO46" s="11" t="n">
        <v>5.87516461238545</v>
      </c>
      <c r="AP46" s="11" t="n">
        <v>5.92092678246997</v>
      </c>
      <c r="AQ46" s="11" t="n">
        <v>5.96055627423853</v>
      </c>
      <c r="AR46" s="11" t="n">
        <v>6.00469813847711</v>
      </c>
      <c r="AS46" s="11" t="n">
        <v>6.04871755683646</v>
      </c>
      <c r="AT46" s="11" t="n">
        <v>6.05489975770093</v>
      </c>
      <c r="AU46" s="11" t="n">
        <v>6.05930697368643</v>
      </c>
      <c r="AV46" s="11" t="n">
        <v>6.05892463983379</v>
      </c>
      <c r="AW46" s="11" t="n">
        <v>6.05840612219306</v>
      </c>
      <c r="AX46" s="11" t="n">
        <v>6.05759619889439</v>
      </c>
      <c r="AY46" s="11" t="n">
        <v>6.05669382061205</v>
      </c>
      <c r="AZ46" s="11" t="n">
        <v>6.05564215321823</v>
      </c>
      <c r="BA46" s="11" t="n">
        <v>6.05407666296171</v>
      </c>
      <c r="BB46" s="11" t="n">
        <v>6.05265111772195</v>
      </c>
      <c r="BC46" s="11" t="n">
        <v>6.05111180786036</v>
      </c>
      <c r="BD46" s="11" t="n">
        <v>6.05087833472176</v>
      </c>
      <c r="BE46" s="11" t="n">
        <v>6.05117502944992</v>
      </c>
      <c r="BF46" s="11" t="n">
        <v>6.05153060471665</v>
      </c>
      <c r="BG46" s="11" t="n">
        <v>6.04367299685357</v>
      </c>
      <c r="BH46" s="11" t="n">
        <v>6.03767307245211</v>
      </c>
      <c r="BI46" s="11" t="n">
        <v>6.02978817960863</v>
      </c>
      <c r="BJ46" s="11" t="n">
        <v>6.02218043965274</v>
      </c>
      <c r="BK46" s="11" t="n">
        <v>6.01467645946508</v>
      </c>
      <c r="BL46" s="11" t="n">
        <v>6.00717891892895</v>
      </c>
      <c r="BM46" s="11" t="n">
        <v>5.99961675817016</v>
      </c>
      <c r="BN46" s="11" t="n">
        <v>29.1547567508667</v>
      </c>
      <c r="BO46" s="11" t="n">
        <v>30.1281787009395</v>
      </c>
      <c r="BP46" s="11" t="n">
        <v>30.2872629347515</v>
      </c>
      <c r="BQ46" s="11" t="n">
        <v>30.2598929527157</v>
      </c>
    </row>
    <row r="47" customFormat="false" ht="13.8" hidden="false" customHeight="false" outlineLevel="0" collapsed="false">
      <c r="A47" s="11" t="s">
        <v>156</v>
      </c>
      <c r="B47" s="11" t="s">
        <v>150</v>
      </c>
      <c r="C47" s="11" t="s">
        <v>139</v>
      </c>
      <c r="D47" s="12"/>
      <c r="E47" s="11" t="n">
        <v>1.91732956481603</v>
      </c>
      <c r="F47" s="11" t="n">
        <v>1.90153517927825</v>
      </c>
      <c r="G47" s="11" t="n">
        <v>1.87956996974072</v>
      </c>
      <c r="H47" s="11" t="n">
        <v>1.8599349666022</v>
      </c>
      <c r="I47" s="11" t="n">
        <v>1.84171282848447</v>
      </c>
      <c r="J47" s="11" t="n">
        <v>1.82964398551786</v>
      </c>
      <c r="K47" s="11" t="n">
        <v>1.79801390399677</v>
      </c>
      <c r="L47" s="11" t="n">
        <v>1.78701240323688</v>
      </c>
      <c r="M47" s="11" t="n">
        <v>1.75335535072427</v>
      </c>
      <c r="N47" s="11" t="n">
        <v>1.71867900810787</v>
      </c>
      <c r="O47" s="11" t="n">
        <v>1.69193702036097</v>
      </c>
      <c r="P47" s="11" t="n">
        <v>1.65394255242475</v>
      </c>
      <c r="Q47" s="11" t="n">
        <v>1.62227523184728</v>
      </c>
      <c r="R47" s="11" t="n">
        <v>1.62105082009116</v>
      </c>
      <c r="S47" s="11" t="n">
        <v>1.57005941985923</v>
      </c>
      <c r="T47" s="11" t="n">
        <v>1.5459097335571</v>
      </c>
      <c r="U47" s="11" t="n">
        <v>1.51233022580461</v>
      </c>
      <c r="V47" s="11" t="n">
        <v>1.49533860144359</v>
      </c>
      <c r="W47" s="11" t="n">
        <v>1.46219483789502</v>
      </c>
      <c r="X47" s="11" t="n">
        <v>1.43076537215641</v>
      </c>
      <c r="Y47" s="11" t="n">
        <v>1.41715709137731</v>
      </c>
      <c r="Z47" s="11" t="n">
        <v>1.41583871602083</v>
      </c>
      <c r="AA47" s="11" t="n">
        <v>1.38469473911457</v>
      </c>
      <c r="AB47" s="11" t="n">
        <v>1.37029423394534</v>
      </c>
      <c r="AC47" s="11" t="n">
        <v>1.33794451268606</v>
      </c>
      <c r="AD47" s="11" t="n">
        <v>1.32440542149874</v>
      </c>
      <c r="AE47" s="11" t="n">
        <v>1.32333109988864</v>
      </c>
      <c r="AF47" s="11" t="n">
        <v>1.30885009967283</v>
      </c>
      <c r="AG47" s="11" t="n">
        <v>1.32089987751271</v>
      </c>
      <c r="AH47" s="11" t="n">
        <v>1.32259926454372</v>
      </c>
      <c r="AI47" s="11" t="n">
        <v>1.30381843700653</v>
      </c>
      <c r="AJ47" s="11" t="n">
        <v>1.29683614041948</v>
      </c>
      <c r="AK47" s="11" t="n">
        <v>1.30568761331629</v>
      </c>
      <c r="AL47" s="11" t="n">
        <v>1.31492760424438</v>
      </c>
      <c r="AM47" s="11" t="n">
        <v>1.30869212702159</v>
      </c>
      <c r="AN47" s="11" t="n">
        <v>1.30558183242501</v>
      </c>
      <c r="AO47" s="11" t="n">
        <v>1.30103872727442</v>
      </c>
      <c r="AP47" s="11" t="n">
        <v>1.29552122925488</v>
      </c>
      <c r="AQ47" s="11" t="n">
        <v>1.28845590662428</v>
      </c>
      <c r="AR47" s="11" t="n">
        <v>1.28591283458635</v>
      </c>
      <c r="AS47" s="11" t="n">
        <v>1.2817780166774</v>
      </c>
      <c r="AT47" s="11" t="n">
        <v>1.27537728919459</v>
      </c>
      <c r="AU47" s="11" t="n">
        <v>1.26890132380126</v>
      </c>
      <c r="AV47" s="11" t="n">
        <v>1.26313673963475</v>
      </c>
      <c r="AW47" s="11" t="n">
        <v>1.25823816476475</v>
      </c>
      <c r="AX47" s="11" t="n">
        <v>1.25473819305763</v>
      </c>
      <c r="AY47" s="11" t="n">
        <v>1.25065906791667</v>
      </c>
      <c r="AZ47" s="11" t="n">
        <v>1.24549429914468</v>
      </c>
      <c r="BA47" s="11" t="n">
        <v>1.24026597254957</v>
      </c>
      <c r="BB47" s="11" t="n">
        <v>1.23326284204797</v>
      </c>
      <c r="BC47" s="11" t="n">
        <v>1.22685585854739</v>
      </c>
      <c r="BD47" s="11" t="n">
        <v>1.22078377634931</v>
      </c>
      <c r="BE47" s="11" t="n">
        <v>1.21481978409925</v>
      </c>
      <c r="BF47" s="11" t="n">
        <v>1.20770352847066</v>
      </c>
      <c r="BG47" s="11" t="n">
        <v>1.20017142991448</v>
      </c>
      <c r="BH47" s="11" t="n">
        <v>1.19641055769795</v>
      </c>
      <c r="BI47" s="11" t="n">
        <v>1.19365266389304</v>
      </c>
      <c r="BJ47" s="11" t="n">
        <v>1.19082447705096</v>
      </c>
      <c r="BK47" s="11" t="n">
        <v>1.18807087556984</v>
      </c>
      <c r="BL47" s="11" t="n">
        <v>1.18532003173302</v>
      </c>
      <c r="BM47" s="11" t="n">
        <v>1.1826039621034</v>
      </c>
      <c r="BN47" s="11" t="n">
        <v>6.52576152022028</v>
      </c>
      <c r="BO47" s="11" t="n">
        <v>6.40042537088389</v>
      </c>
      <c r="BP47" s="11" t="n">
        <v>6.27226646451849</v>
      </c>
      <c r="BQ47" s="11" t="n">
        <v>6.13598823359349</v>
      </c>
    </row>
    <row r="48" customFormat="false" ht="35" hidden="false" customHeight="true" outlineLevel="0" collapsed="false">
      <c r="A48" s="11" t="s">
        <v>154</v>
      </c>
      <c r="B48" s="11" t="s">
        <v>151</v>
      </c>
      <c r="C48" s="11" t="s">
        <v>139</v>
      </c>
      <c r="D48" s="12"/>
      <c r="E48" s="11" t="n">
        <v>202.925144914795</v>
      </c>
      <c r="F48" s="11" t="n">
        <v>199.516918824262</v>
      </c>
      <c r="G48" s="11" t="n">
        <v>187.483507490296</v>
      </c>
      <c r="H48" s="11" t="n">
        <v>170.120299944348</v>
      </c>
      <c r="I48" s="11" t="n">
        <v>165.920447741627</v>
      </c>
      <c r="J48" s="11" t="n">
        <v>162.773744683292</v>
      </c>
      <c r="K48" s="11" t="n">
        <v>162.490940740338</v>
      </c>
      <c r="L48" s="11" t="n">
        <v>150.009710153503</v>
      </c>
      <c r="M48" s="11" t="n">
        <v>154.936122707304</v>
      </c>
      <c r="N48" s="11" t="n">
        <v>146.961182400372</v>
      </c>
      <c r="O48" s="11" t="n">
        <v>158.34345607755</v>
      </c>
      <c r="P48" s="11" t="n">
        <v>169.128263590636</v>
      </c>
      <c r="Q48" s="11" t="n">
        <v>164.79330213876</v>
      </c>
      <c r="R48" s="11" t="n">
        <v>173.741771082966</v>
      </c>
      <c r="S48" s="11" t="n">
        <v>173.415669888689</v>
      </c>
      <c r="T48" s="11" t="n">
        <v>172.628253680816</v>
      </c>
      <c r="U48" s="11" t="n">
        <v>181.495272717739</v>
      </c>
      <c r="V48" s="11" t="n">
        <v>177.255442439562</v>
      </c>
      <c r="W48" s="11" t="n">
        <v>172.179728828093</v>
      </c>
      <c r="X48" s="11" t="n">
        <v>150.485297048087</v>
      </c>
      <c r="Y48" s="11" t="n">
        <v>156.739758480986</v>
      </c>
      <c r="Z48" s="11" t="n">
        <v>143.977068008974</v>
      </c>
      <c r="AA48" s="11" t="n">
        <v>157.803670160879</v>
      </c>
      <c r="AB48" s="11" t="n">
        <v>146.804046659553</v>
      </c>
      <c r="AC48" s="11" t="n">
        <v>123.656345322885</v>
      </c>
      <c r="AD48" s="11" t="n">
        <v>103.512225563956</v>
      </c>
      <c r="AE48" s="11" t="n">
        <v>81.6417470103834</v>
      </c>
      <c r="AF48" s="11" t="n">
        <v>71.6421735070408</v>
      </c>
      <c r="AG48" s="11" t="n">
        <v>65.2247025510129</v>
      </c>
      <c r="AH48" s="11" t="n">
        <v>57.2107943404523</v>
      </c>
      <c r="AI48" s="11" t="n">
        <v>48.8895522781251</v>
      </c>
      <c r="AJ48" s="11" t="n">
        <v>54.0735317710656</v>
      </c>
      <c r="AK48" s="11" t="n">
        <v>54.4168494661009</v>
      </c>
      <c r="AL48" s="11" t="n">
        <v>43.3309010511944</v>
      </c>
      <c r="AM48" s="11" t="n">
        <v>37.8563107926445</v>
      </c>
      <c r="AN48" s="11" t="n">
        <v>26.0387548995241</v>
      </c>
      <c r="AO48" s="11" t="n">
        <v>23.7649599136919</v>
      </c>
      <c r="AP48" s="11" t="n">
        <v>21.3778573961621</v>
      </c>
      <c r="AQ48" s="11" t="n">
        <v>20.7956701825748</v>
      </c>
      <c r="AR48" s="11" t="n">
        <v>22.2827298006062</v>
      </c>
      <c r="AS48" s="11" t="n">
        <v>24.3389095717703</v>
      </c>
      <c r="AT48" s="11" t="n">
        <v>24.9234102297846</v>
      </c>
      <c r="AU48" s="11" t="n">
        <v>25.8801149621685</v>
      </c>
      <c r="AV48" s="11" t="n">
        <v>26.6777507369232</v>
      </c>
      <c r="AW48" s="11" t="n">
        <v>27.7547681055717</v>
      </c>
      <c r="AX48" s="11" t="n">
        <v>30.417130748468</v>
      </c>
      <c r="AY48" s="11" t="n">
        <v>32.3299674815604</v>
      </c>
      <c r="AZ48" s="11" t="n">
        <v>33.7927665723369</v>
      </c>
      <c r="BA48" s="11" t="n">
        <v>34.3421859449884</v>
      </c>
      <c r="BB48" s="11" t="n">
        <v>34.7434569995714</v>
      </c>
      <c r="BC48" s="11" t="n">
        <v>35.2576750111861</v>
      </c>
      <c r="BD48" s="11" t="n">
        <v>36.6029133532702</v>
      </c>
      <c r="BE48" s="11" t="n">
        <v>38.3229862019989</v>
      </c>
      <c r="BF48" s="11" t="n">
        <v>39.5737038894566</v>
      </c>
      <c r="BG48" s="11" t="n">
        <v>40.7884496788323</v>
      </c>
      <c r="BH48" s="11" t="n">
        <v>41.4117027308824</v>
      </c>
      <c r="BI48" s="11" t="n">
        <v>42.4446076502553</v>
      </c>
      <c r="BJ48" s="11" t="n">
        <v>43.493641232898</v>
      </c>
      <c r="BK48" s="11" t="n">
        <v>44.954893540039</v>
      </c>
      <c r="BL48" s="11" t="n">
        <v>43.6238726451778</v>
      </c>
      <c r="BM48" s="11" t="n">
        <v>41.827301031435</v>
      </c>
      <c r="BN48" s="11" t="n">
        <v>152.368784053217</v>
      </c>
      <c r="BO48" s="11" t="n">
        <v>118.220834746905</v>
      </c>
      <c r="BP48" s="11" t="n">
        <v>150.97238364486</v>
      </c>
      <c r="BQ48" s="11" t="n">
        <v>179.269217511015</v>
      </c>
    </row>
    <row r="49" customFormat="false" ht="13.8" hidden="false" customHeight="false" outlineLevel="0" collapsed="false">
      <c r="A49" s="11" t="s">
        <v>155</v>
      </c>
      <c r="B49" s="11" t="s">
        <v>151</v>
      </c>
      <c r="C49" s="11" t="s">
        <v>139</v>
      </c>
      <c r="D49" s="12"/>
      <c r="E49" s="11" t="n">
        <v>0.0807658468752224</v>
      </c>
      <c r="F49" s="11" t="n">
        <v>0.0758682193535982</v>
      </c>
      <c r="G49" s="11" t="n">
        <v>0.072060780972748</v>
      </c>
      <c r="H49" s="11" t="n">
        <v>0.0709247278374882</v>
      </c>
      <c r="I49" s="11" t="n">
        <v>0.0742130274626892</v>
      </c>
      <c r="J49" s="11" t="n">
        <v>0.0748808413651573</v>
      </c>
      <c r="K49" s="11" t="n">
        <v>0.0758501153320661</v>
      </c>
      <c r="L49" s="11" t="n">
        <v>0.0732454613383986</v>
      </c>
      <c r="M49" s="11" t="n">
        <v>0.0774811747973583</v>
      </c>
      <c r="N49" s="11" t="n">
        <v>0.0793672420704026</v>
      </c>
      <c r="O49" s="11" t="n">
        <v>0.0846894349742251</v>
      </c>
      <c r="P49" s="11" t="n">
        <v>0.0917537201635203</v>
      </c>
      <c r="Q49" s="11" t="n">
        <v>0.0907429907796953</v>
      </c>
      <c r="R49" s="11" t="n">
        <v>0.0941428339572569</v>
      </c>
      <c r="S49" s="11" t="n">
        <v>0.0957489905159302</v>
      </c>
      <c r="T49" s="11" t="n">
        <v>0.113282858428791</v>
      </c>
      <c r="U49" s="11" t="n">
        <v>0.11589050223186</v>
      </c>
      <c r="V49" s="11" t="n">
        <v>0.116504889160943</v>
      </c>
      <c r="W49" s="11" t="n">
        <v>0.125539427564436</v>
      </c>
      <c r="X49" s="11" t="n">
        <v>0.12220727307455</v>
      </c>
      <c r="Y49" s="11" t="n">
        <v>0.128518199478691</v>
      </c>
      <c r="Z49" s="11" t="n">
        <v>0.127600337628883</v>
      </c>
      <c r="AA49" s="11" t="n">
        <v>0.140664350919096</v>
      </c>
      <c r="AB49" s="11" t="n">
        <v>0.15318369461605</v>
      </c>
      <c r="AC49" s="11" t="n">
        <v>0.175985198212602</v>
      </c>
      <c r="AD49" s="11" t="n">
        <v>0.211350425583013</v>
      </c>
      <c r="AE49" s="11" t="n">
        <v>0.220751805792714</v>
      </c>
      <c r="AF49" s="11" t="n">
        <v>0.222246360185226</v>
      </c>
      <c r="AG49" s="11" t="n">
        <v>0.249516926143695</v>
      </c>
      <c r="AH49" s="11" t="n">
        <v>0.272413021693873</v>
      </c>
      <c r="AI49" s="11" t="n">
        <v>0.274611055142341</v>
      </c>
      <c r="AJ49" s="11" t="n">
        <v>0.29493541718883</v>
      </c>
      <c r="AK49" s="11" t="n">
        <v>0.268806108474926</v>
      </c>
      <c r="AL49" s="11" t="n">
        <v>0.261550530209527</v>
      </c>
      <c r="AM49" s="11" t="n">
        <v>0.37970982641791</v>
      </c>
      <c r="AN49" s="11" t="n">
        <v>0.373080293883178</v>
      </c>
      <c r="AO49" s="11" t="n">
        <v>0.363912584270171</v>
      </c>
      <c r="AP49" s="11" t="n">
        <v>0.336006971935081</v>
      </c>
      <c r="AQ49" s="11" t="n">
        <v>0.247508682101897</v>
      </c>
      <c r="AR49" s="11" t="n">
        <v>0.2412573927303</v>
      </c>
      <c r="AS49" s="11" t="n">
        <v>0.226850323086535</v>
      </c>
      <c r="AT49" s="11" t="n">
        <v>0.225613618435988</v>
      </c>
      <c r="AU49" s="11" t="n">
        <v>0.181972407712395</v>
      </c>
      <c r="AV49" s="11" t="n">
        <v>0.182567680996711</v>
      </c>
      <c r="AW49" s="11" t="n">
        <v>0.182735847896778</v>
      </c>
      <c r="AX49" s="11" t="n">
        <v>0.160309067991302</v>
      </c>
      <c r="AY49" s="11" t="n">
        <v>0.158625371933815</v>
      </c>
      <c r="AZ49" s="11" t="n">
        <v>0.155206932589289</v>
      </c>
      <c r="BA49" s="11" t="n">
        <v>0.157324794769764</v>
      </c>
      <c r="BB49" s="11" t="n">
        <v>0.15797154465283</v>
      </c>
      <c r="BC49" s="11" t="n">
        <v>0.157179569242113</v>
      </c>
      <c r="BD49" s="11" t="n">
        <v>0.152543560485125</v>
      </c>
      <c r="BE49" s="11" t="n">
        <v>0.144308561708012</v>
      </c>
      <c r="BF49" s="11" t="n">
        <v>0.141391786442025</v>
      </c>
      <c r="BG49" s="11" t="n">
        <v>0.14214992681255</v>
      </c>
      <c r="BH49" s="11" t="n">
        <v>0.143125056378785</v>
      </c>
      <c r="BI49" s="11" t="n">
        <v>0.143936418640943</v>
      </c>
      <c r="BJ49" s="11" t="n">
        <v>0.144816189699995</v>
      </c>
      <c r="BK49" s="11" t="n">
        <v>0.145908199471215</v>
      </c>
      <c r="BL49" s="11" t="n">
        <v>0.145780068369648</v>
      </c>
      <c r="BM49" s="11" t="n">
        <v>0.145435281767843</v>
      </c>
      <c r="BN49" s="11" t="n">
        <v>1.71426020671587</v>
      </c>
      <c r="BO49" s="11" t="n">
        <v>1.12320242406712</v>
      </c>
      <c r="BP49" s="11" t="n">
        <v>0.839444901407895</v>
      </c>
      <c r="BQ49" s="11" t="n">
        <v>0.769328030857844</v>
      </c>
    </row>
    <row r="50" customFormat="false" ht="13.8" hidden="false" customHeight="false" outlineLevel="0" collapsed="false">
      <c r="A50" s="11" t="s">
        <v>156</v>
      </c>
      <c r="B50" s="11" t="s">
        <v>151</v>
      </c>
      <c r="C50" s="11" t="s">
        <v>139</v>
      </c>
      <c r="D50" s="12"/>
      <c r="E50" s="11" t="n">
        <v>0.984987691558184</v>
      </c>
      <c r="F50" s="11" t="n">
        <v>0.970048388417935</v>
      </c>
      <c r="G50" s="11" t="n">
        <v>0.910617933265949</v>
      </c>
      <c r="H50" s="11" t="n">
        <v>0.771978697012648</v>
      </c>
      <c r="I50" s="11" t="n">
        <v>0.737321268443208</v>
      </c>
      <c r="J50" s="11" t="n">
        <v>0.709397209019641</v>
      </c>
      <c r="K50" s="11" t="n">
        <v>0.6612887889585</v>
      </c>
      <c r="L50" s="11" t="n">
        <v>0.568914048515286</v>
      </c>
      <c r="M50" s="11" t="n">
        <v>0.58638959258624</v>
      </c>
      <c r="N50" s="11" t="n">
        <v>0.513498687002719</v>
      </c>
      <c r="O50" s="11" t="n">
        <v>0.574804572248271</v>
      </c>
      <c r="P50" s="11" t="n">
        <v>0.632355500344122</v>
      </c>
      <c r="Q50" s="11" t="n">
        <v>0.597481798965218</v>
      </c>
      <c r="R50" s="11" t="n">
        <v>0.652412845375287</v>
      </c>
      <c r="S50" s="11" t="n">
        <v>0.634687425943725</v>
      </c>
      <c r="T50" s="11" t="n">
        <v>0.672744029106066</v>
      </c>
      <c r="U50" s="11" t="n">
        <v>0.726225392133559</v>
      </c>
      <c r="V50" s="11" t="n">
        <v>0.673849210882455</v>
      </c>
      <c r="W50" s="11" t="n">
        <v>0.637459708292023</v>
      </c>
      <c r="X50" s="11" t="n">
        <v>0.548443507955349</v>
      </c>
      <c r="Y50" s="11" t="n">
        <v>0.577056570762781</v>
      </c>
      <c r="Z50" s="11" t="n">
        <v>0.580114063030644</v>
      </c>
      <c r="AA50" s="11" t="n">
        <v>0.739849019698221</v>
      </c>
      <c r="AB50" s="11" t="n">
        <v>0.714748016401047</v>
      </c>
      <c r="AC50" s="11" t="n">
        <v>0.62046564927776</v>
      </c>
      <c r="AD50" s="11" t="n">
        <v>0.568838988121384</v>
      </c>
      <c r="AE50" s="11" t="n">
        <v>0.39786726674901</v>
      </c>
      <c r="AF50" s="11" t="n">
        <v>0.365313374041686</v>
      </c>
      <c r="AG50" s="11" t="n">
        <v>0.377926428764218</v>
      </c>
      <c r="AH50" s="11" t="n">
        <v>0.368168520875393</v>
      </c>
      <c r="AI50" s="11" t="n">
        <v>0.365816544629617</v>
      </c>
      <c r="AJ50" s="11" t="n">
        <v>0.393674218221008</v>
      </c>
      <c r="AK50" s="11" t="n">
        <v>0.35714368175873</v>
      </c>
      <c r="AL50" s="11" t="n">
        <v>0.341045187738303</v>
      </c>
      <c r="AM50" s="11" t="n">
        <v>0.486334882072618</v>
      </c>
      <c r="AN50" s="11" t="n">
        <v>0.469075455218145</v>
      </c>
      <c r="AO50" s="11" t="n">
        <v>0.457871749829562</v>
      </c>
      <c r="AP50" s="11" t="n">
        <v>0.423064372388104</v>
      </c>
      <c r="AQ50" s="11" t="n">
        <v>0.311873779756835</v>
      </c>
      <c r="AR50" s="11" t="n">
        <v>0.303753986540508</v>
      </c>
      <c r="AS50" s="11" t="n">
        <v>0.285270009524733</v>
      </c>
      <c r="AT50" s="11" t="n">
        <v>0.283614740971304</v>
      </c>
      <c r="AU50" s="11" t="n">
        <v>0.228450402325953</v>
      </c>
      <c r="AV50" s="11" t="n">
        <v>0.229054613220379</v>
      </c>
      <c r="AW50" s="11" t="n">
        <v>0.229079816586014</v>
      </c>
      <c r="AX50" s="11" t="n">
        <v>0.200395731097978</v>
      </c>
      <c r="AY50" s="11" t="n">
        <v>0.197963436627929</v>
      </c>
      <c r="AZ50" s="11" t="n">
        <v>0.193417252726667</v>
      </c>
      <c r="BA50" s="11" t="n">
        <v>0.195981079136799</v>
      </c>
      <c r="BB50" s="11" t="n">
        <v>0.196729879210459</v>
      </c>
      <c r="BC50" s="11" t="n">
        <v>0.195590097450061</v>
      </c>
      <c r="BD50" s="11" t="n">
        <v>0.189530737049675</v>
      </c>
      <c r="BE50" s="11" t="n">
        <v>0.17885667024711</v>
      </c>
      <c r="BF50" s="11" t="n">
        <v>0.174935429023201</v>
      </c>
      <c r="BG50" s="11" t="n">
        <v>0.175565911603301</v>
      </c>
      <c r="BH50" s="11" t="n">
        <v>0.176399409510302</v>
      </c>
      <c r="BI50" s="11" t="n">
        <v>0.177237606162305</v>
      </c>
      <c r="BJ50" s="11" t="n">
        <v>0.178156385145863</v>
      </c>
      <c r="BK50" s="11" t="n">
        <v>0.17932438937741</v>
      </c>
      <c r="BL50" s="11" t="n">
        <v>0.179255258298669</v>
      </c>
      <c r="BM50" s="11" t="n">
        <v>0.17897559827619</v>
      </c>
      <c r="BN50" s="11" t="n">
        <v>2.17739164724673</v>
      </c>
      <c r="BO50" s="11" t="n">
        <v>1.41296291911933</v>
      </c>
      <c r="BP50" s="11" t="n">
        <v>1.04991085025897</v>
      </c>
      <c r="BQ50" s="11" t="n">
        <v>0.956688463094104</v>
      </c>
    </row>
    <row r="51" customFormat="false" ht="35" hidden="false" customHeight="true" outlineLevel="0" collapsed="false">
      <c r="A51" s="11" t="s">
        <v>154</v>
      </c>
      <c r="B51" s="11" t="s">
        <v>152</v>
      </c>
      <c r="C51" s="11" t="s">
        <v>139</v>
      </c>
      <c r="D51" s="12"/>
      <c r="E51" s="11" t="n">
        <v>1.14527957027628</v>
      </c>
      <c r="F51" s="11" t="n">
        <v>1.14380728387657</v>
      </c>
      <c r="G51" s="11" t="n">
        <v>1.11211807184481</v>
      </c>
      <c r="H51" s="11" t="n">
        <v>1.04370403270528</v>
      </c>
      <c r="I51" s="11" t="n">
        <v>0.892555823566639</v>
      </c>
      <c r="J51" s="11" t="n">
        <v>0.883007165374887</v>
      </c>
      <c r="K51" s="11" t="n">
        <v>0.868147356253029</v>
      </c>
      <c r="L51" s="11" t="n">
        <v>0.431431728936357</v>
      </c>
      <c r="M51" s="11" t="n">
        <v>0.43043072724509</v>
      </c>
      <c r="N51" s="11" t="n">
        <v>0.376539565348968</v>
      </c>
      <c r="O51" s="11" t="n">
        <v>0.395872552008872</v>
      </c>
      <c r="P51" s="11" t="n">
        <v>0.335863418521747</v>
      </c>
      <c r="Q51" s="11" t="n">
        <v>0.316529172274176</v>
      </c>
      <c r="R51" s="11" t="n">
        <v>0.334420174939148</v>
      </c>
      <c r="S51" s="11" t="n">
        <v>0.351074346720374</v>
      </c>
      <c r="T51" s="11" t="n">
        <v>0.332503460287215</v>
      </c>
      <c r="U51" s="11" t="n">
        <v>0.212159372141306</v>
      </c>
      <c r="V51" s="11" t="n">
        <v>0.275545445609431</v>
      </c>
      <c r="W51" s="11" t="n">
        <v>0.221657424604174</v>
      </c>
      <c r="X51" s="11" t="n">
        <v>0.186125742604328</v>
      </c>
      <c r="Y51" s="11" t="n">
        <v>0.179269095903776</v>
      </c>
      <c r="Z51" s="11" t="n">
        <v>0.166227669190959</v>
      </c>
      <c r="AA51" s="11" t="n">
        <v>0.162165849255765</v>
      </c>
      <c r="AB51" s="11" t="n">
        <v>0.163846395337932</v>
      </c>
      <c r="AC51" s="11" t="n">
        <v>0.168179677393801</v>
      </c>
      <c r="AD51" s="11" t="n">
        <v>0.160505189945555</v>
      </c>
      <c r="AE51" s="11" t="n">
        <v>0.172535174679243</v>
      </c>
      <c r="AF51" s="11" t="n">
        <v>0.160045453925536</v>
      </c>
      <c r="AG51" s="11" t="n">
        <v>0.153800238798496</v>
      </c>
      <c r="AH51" s="11" t="n">
        <v>0.147116212815969</v>
      </c>
      <c r="AI51" s="11" t="n">
        <v>0.156307702211732</v>
      </c>
      <c r="AJ51" s="11" t="n">
        <v>0.192529024923746</v>
      </c>
      <c r="AK51" s="11" t="n">
        <v>0.209181817454213</v>
      </c>
      <c r="AL51" s="11" t="n">
        <v>0.203603213658945</v>
      </c>
      <c r="AM51" s="11" t="n">
        <v>0.203603213658945</v>
      </c>
      <c r="AN51" s="11" t="n">
        <v>0.203603213658945</v>
      </c>
      <c r="AO51" s="11" t="n">
        <v>0.203603213658945</v>
      </c>
      <c r="AP51" s="11" t="n">
        <v>0.203603213658945</v>
      </c>
      <c r="AQ51" s="11" t="n">
        <v>0.203603213658945</v>
      </c>
      <c r="AR51" s="11" t="n">
        <v>0.203603213658945</v>
      </c>
      <c r="AS51" s="11" t="n">
        <v>0.203603213658945</v>
      </c>
      <c r="AT51" s="11" t="n">
        <v>0.203603213658945</v>
      </c>
      <c r="AU51" s="11" t="n">
        <v>0.203603213658945</v>
      </c>
      <c r="AV51" s="11" t="n">
        <v>0.203603213658945</v>
      </c>
      <c r="AW51" s="11" t="n">
        <v>0.203603213658945</v>
      </c>
      <c r="AX51" s="11" t="n">
        <v>0.203603213658945</v>
      </c>
      <c r="AY51" s="11" t="n">
        <v>0.203603213658945</v>
      </c>
      <c r="AZ51" s="11" t="n">
        <v>0.203603213658945</v>
      </c>
      <c r="BA51" s="11" t="n">
        <v>0.203603213658945</v>
      </c>
      <c r="BB51" s="11" t="n">
        <v>0.203603213658945</v>
      </c>
      <c r="BC51" s="11" t="n">
        <v>0.203603213658945</v>
      </c>
      <c r="BD51" s="11" t="n">
        <v>0.203603213658945</v>
      </c>
      <c r="BE51" s="11" t="n">
        <v>0.203603213658945</v>
      </c>
      <c r="BF51" s="11" t="n">
        <v>0.203603213658945</v>
      </c>
      <c r="BG51" s="11" t="n">
        <v>0.203603213658945</v>
      </c>
      <c r="BH51" s="11" t="n">
        <v>0.203603213658945</v>
      </c>
      <c r="BI51" s="11" t="n">
        <v>0.203603213658945</v>
      </c>
      <c r="BJ51" s="11" t="n">
        <v>0.203603213658945</v>
      </c>
      <c r="BK51" s="11" t="n">
        <v>0.203603213658945</v>
      </c>
      <c r="BL51" s="11" t="n">
        <v>0.203603213658945</v>
      </c>
      <c r="BM51" s="11" t="n">
        <v>0.203603213658945</v>
      </c>
      <c r="BN51" s="11" t="n">
        <v>1.01801606829473</v>
      </c>
      <c r="BO51" s="11" t="n">
        <v>1.01801606829473</v>
      </c>
      <c r="BP51" s="11" t="n">
        <v>1.01801606829473</v>
      </c>
      <c r="BQ51" s="11" t="n">
        <v>1.01801606829473</v>
      </c>
    </row>
    <row r="52" customFormat="false" ht="13.8" hidden="false" customHeight="false" outlineLevel="0" collapsed="false">
      <c r="A52" s="11" t="s">
        <v>155</v>
      </c>
      <c r="B52" s="11" t="s">
        <v>152</v>
      </c>
      <c r="C52" s="11" t="s">
        <v>139</v>
      </c>
      <c r="D52" s="12"/>
      <c r="E52" s="11" t="n">
        <v>68.129931744243</v>
      </c>
      <c r="F52" s="11" t="n">
        <v>68.9964865026238</v>
      </c>
      <c r="G52" s="11" t="n">
        <v>69.147580746349</v>
      </c>
      <c r="H52" s="11" t="n">
        <v>69.8832049242274</v>
      </c>
      <c r="I52" s="11" t="n">
        <v>70.5082562370906</v>
      </c>
      <c r="J52" s="11" t="n">
        <v>71.2185206523014</v>
      </c>
      <c r="K52" s="11" t="n">
        <v>71.8475702374456</v>
      </c>
      <c r="L52" s="11" t="n">
        <v>71.8668526746168</v>
      </c>
      <c r="M52" s="11" t="n">
        <v>71.437171210827</v>
      </c>
      <c r="N52" s="11" t="n">
        <v>68.9718781335775</v>
      </c>
      <c r="O52" s="11" t="n">
        <v>66.1216312178531</v>
      </c>
      <c r="P52" s="11" t="n">
        <v>63.8864157779356</v>
      </c>
      <c r="Q52" s="11" t="n">
        <v>63.4236235102702</v>
      </c>
      <c r="R52" s="11" t="n">
        <v>59.9558712542823</v>
      </c>
      <c r="S52" s="11" t="n">
        <v>55.2688216322833</v>
      </c>
      <c r="T52" s="11" t="n">
        <v>52.9833963820739</v>
      </c>
      <c r="U52" s="11" t="n">
        <v>51.0954461139793</v>
      </c>
      <c r="V52" s="11" t="n">
        <v>47.3995206969938</v>
      </c>
      <c r="W52" s="11" t="n">
        <v>42.6149904906712</v>
      </c>
      <c r="X52" s="11" t="n">
        <v>38.5185777277248</v>
      </c>
      <c r="Y52" s="11" t="n">
        <v>33.2083199621817</v>
      </c>
      <c r="Z52" s="11" t="n">
        <v>30.8558884109676</v>
      </c>
      <c r="AA52" s="11" t="n">
        <v>29.129910762563</v>
      </c>
      <c r="AB52" s="11" t="n">
        <v>25.716866743767</v>
      </c>
      <c r="AC52" s="11" t="n">
        <v>23.1953408858307</v>
      </c>
      <c r="AD52" s="11" t="n">
        <v>22.3648223414965</v>
      </c>
      <c r="AE52" s="11" t="n">
        <v>21.1547525779738</v>
      </c>
      <c r="AF52" s="11" t="n">
        <v>21.4242303804281</v>
      </c>
      <c r="AG52" s="11" t="n">
        <v>21.2945620332643</v>
      </c>
      <c r="AH52" s="11" t="n">
        <v>20.8253175246667</v>
      </c>
      <c r="AI52" s="11" t="n">
        <v>19.3011141759919</v>
      </c>
      <c r="AJ52" s="11" t="n">
        <v>18.1553437634056</v>
      </c>
      <c r="AK52" s="11" t="n">
        <v>18.0570091121117</v>
      </c>
      <c r="AL52" s="11" t="n">
        <v>17.8914413549417</v>
      </c>
      <c r="AM52" s="11" t="n">
        <v>17.0850291704748</v>
      </c>
      <c r="AN52" s="11" t="n">
        <v>16.7174896593897</v>
      </c>
      <c r="AO52" s="11" t="n">
        <v>16.3026010932329</v>
      </c>
      <c r="AP52" s="11" t="n">
        <v>17.077371517905</v>
      </c>
      <c r="AQ52" s="11" t="n">
        <v>16.5570399425496</v>
      </c>
      <c r="AR52" s="11" t="n">
        <v>16.0856920269459</v>
      </c>
      <c r="AS52" s="11" t="n">
        <v>15.6506050463621</v>
      </c>
      <c r="AT52" s="11" t="n">
        <v>15.238112721631</v>
      </c>
      <c r="AU52" s="11" t="n">
        <v>14.8733029336625</v>
      </c>
      <c r="AV52" s="11" t="n">
        <v>14.5505245467854</v>
      </c>
      <c r="AW52" s="11" t="n">
        <v>14.2567576502316</v>
      </c>
      <c r="AX52" s="11" t="n">
        <v>13.9760634582213</v>
      </c>
      <c r="AY52" s="11" t="n">
        <v>13.735787973711</v>
      </c>
      <c r="AZ52" s="11" t="n">
        <v>13.5029122923072</v>
      </c>
      <c r="BA52" s="11" t="n">
        <v>13.2605387556614</v>
      </c>
      <c r="BB52" s="11" t="n">
        <v>13.0515626710776</v>
      </c>
      <c r="BC52" s="11" t="n">
        <v>12.8561804579169</v>
      </c>
      <c r="BD52" s="11" t="n">
        <v>12.7326713340032</v>
      </c>
      <c r="BE52" s="11" t="n">
        <v>12.6331305772498</v>
      </c>
      <c r="BF52" s="11" t="n">
        <v>12.5762382125732</v>
      </c>
      <c r="BG52" s="11" t="n">
        <v>12.5475994184847</v>
      </c>
      <c r="BH52" s="11" t="n">
        <v>12.4483923263222</v>
      </c>
      <c r="BI52" s="11" t="n">
        <v>12.376424514765</v>
      </c>
      <c r="BJ52" s="11" t="n">
        <v>12.3257262457154</v>
      </c>
      <c r="BK52" s="11" t="n">
        <v>12.2676871044194</v>
      </c>
      <c r="BL52" s="11" t="n">
        <v>12.212156030379</v>
      </c>
      <c r="BM52" s="11" t="n">
        <v>12.095288888069</v>
      </c>
      <c r="BN52" s="11" t="n">
        <v>85.0739327959441</v>
      </c>
      <c r="BO52" s="11" t="n">
        <v>78.4047526711511</v>
      </c>
      <c r="BP52" s="11" t="n">
        <v>70.0220459212565</v>
      </c>
      <c r="BQ52" s="11" t="n">
        <v>64.5340837959089</v>
      </c>
    </row>
    <row r="53" customFormat="false" ht="13.8" hidden="false" customHeight="false" outlineLevel="0" collapsed="false">
      <c r="A53" s="11" t="s">
        <v>156</v>
      </c>
      <c r="B53" s="11" t="s">
        <v>152</v>
      </c>
      <c r="C53" s="11" t="s">
        <v>139</v>
      </c>
      <c r="D53" s="12"/>
      <c r="E53" s="11" t="n">
        <v>0.822044856799171</v>
      </c>
      <c r="F53" s="11" t="n">
        <v>0.829147775338312</v>
      </c>
      <c r="G53" s="11" t="n">
        <v>0.872595801391266</v>
      </c>
      <c r="H53" s="11" t="n">
        <v>0.885308334145198</v>
      </c>
      <c r="I53" s="11" t="n">
        <v>0.894936521427022</v>
      </c>
      <c r="J53" s="11" t="n">
        <v>0.914269940585074</v>
      </c>
      <c r="K53" s="11" t="n">
        <v>0.948977695066555</v>
      </c>
      <c r="L53" s="11" t="n">
        <v>0.960229133477019</v>
      </c>
      <c r="M53" s="11" t="n">
        <v>0.990264616022948</v>
      </c>
      <c r="N53" s="11" t="n">
        <v>0.9892457885681</v>
      </c>
      <c r="O53" s="11" t="n">
        <v>1.03182659578218</v>
      </c>
      <c r="P53" s="11" t="n">
        <v>1.01501682257822</v>
      </c>
      <c r="Q53" s="11" t="n">
        <v>1.03773758149956</v>
      </c>
      <c r="R53" s="11" t="n">
        <v>1.04726854425037</v>
      </c>
      <c r="S53" s="11" t="n">
        <v>1.05229317532329</v>
      </c>
      <c r="T53" s="11" t="n">
        <v>1.09134261724207</v>
      </c>
      <c r="U53" s="11" t="n">
        <v>1.11377060691125</v>
      </c>
      <c r="V53" s="11" t="n">
        <v>1.14055693363523</v>
      </c>
      <c r="W53" s="11" t="n">
        <v>1.10273917344289</v>
      </c>
      <c r="X53" s="11" t="n">
        <v>1.15893176812959</v>
      </c>
      <c r="Y53" s="11" t="n">
        <v>1.23859566471372</v>
      </c>
      <c r="Z53" s="11" t="n">
        <v>1.30553228188433</v>
      </c>
      <c r="AA53" s="11" t="n">
        <v>1.3097586672049</v>
      </c>
      <c r="AB53" s="11" t="n">
        <v>1.33578971496688</v>
      </c>
      <c r="AC53" s="11" t="n">
        <v>1.40131976998824</v>
      </c>
      <c r="AD53" s="11" t="n">
        <v>1.41419974970324</v>
      </c>
      <c r="AE53" s="11" t="n">
        <v>1.43569805299054</v>
      </c>
      <c r="AF53" s="11" t="n">
        <v>1.51665579467753</v>
      </c>
      <c r="AG53" s="11" t="n">
        <v>1.49542031795645</v>
      </c>
      <c r="AH53" s="11" t="n">
        <v>1.48878583297354</v>
      </c>
      <c r="AI53" s="11" t="n">
        <v>1.49807388254424</v>
      </c>
      <c r="AJ53" s="11" t="n">
        <v>1.54238638600406</v>
      </c>
      <c r="AK53" s="11" t="n">
        <v>1.52647481140429</v>
      </c>
      <c r="AL53" s="11" t="n">
        <v>1.59030916569781</v>
      </c>
      <c r="AM53" s="11" t="n">
        <v>1.56917953941917</v>
      </c>
      <c r="AN53" s="11" t="n">
        <v>1.57860303802884</v>
      </c>
      <c r="AO53" s="11" t="n">
        <v>1.58691244782571</v>
      </c>
      <c r="AP53" s="11" t="n">
        <v>1.59412486739203</v>
      </c>
      <c r="AQ53" s="11" t="n">
        <v>1.60012941023335</v>
      </c>
      <c r="AR53" s="11" t="n">
        <v>1.60598883835382</v>
      </c>
      <c r="AS53" s="11" t="n">
        <v>1.59208665373983</v>
      </c>
      <c r="AT53" s="11" t="n">
        <v>1.57812557453462</v>
      </c>
      <c r="AU53" s="11" t="n">
        <v>1.56406322822419</v>
      </c>
      <c r="AV53" s="11" t="n">
        <v>1.54987505392429</v>
      </c>
      <c r="AW53" s="11" t="n">
        <v>1.53554361006364</v>
      </c>
      <c r="AX53" s="11" t="n">
        <v>1.52108781656786</v>
      </c>
      <c r="AY53" s="11" t="n">
        <v>1.50658376920112</v>
      </c>
      <c r="AZ53" s="11" t="n">
        <v>1.49195574339058</v>
      </c>
      <c r="BA53" s="11" t="n">
        <v>1.47721798092426</v>
      </c>
      <c r="BB53" s="11" t="n">
        <v>1.46234567689869</v>
      </c>
      <c r="BC53" s="11" t="n">
        <v>1.44741964767814</v>
      </c>
      <c r="BD53" s="11" t="n">
        <v>1.45206150946976</v>
      </c>
      <c r="BE53" s="11" t="n">
        <v>1.45665617740977</v>
      </c>
      <c r="BF53" s="11" t="n">
        <v>1.46120142830724</v>
      </c>
      <c r="BG53" s="11" t="n">
        <v>1.4656918942503</v>
      </c>
      <c r="BH53" s="11" t="n">
        <v>1.47012370481324</v>
      </c>
      <c r="BI53" s="11" t="n">
        <v>1.4744934848927</v>
      </c>
      <c r="BJ53" s="11" t="n">
        <v>1.47879715671873</v>
      </c>
      <c r="BK53" s="11" t="n">
        <v>1.48301869718964</v>
      </c>
      <c r="BL53" s="11" t="n">
        <v>1.48713946836259</v>
      </c>
      <c r="BM53" s="11" t="n">
        <v>1.49115275458821</v>
      </c>
      <c r="BN53" s="11" t="n">
        <v>7.91912905836355</v>
      </c>
      <c r="BO53" s="11" t="n">
        <v>7.9403937050858</v>
      </c>
      <c r="BP53" s="11" t="n">
        <v>7.60504599314748</v>
      </c>
      <c r="BQ53" s="11" t="n">
        <v>7.29570099238063</v>
      </c>
    </row>
    <row r="54" customFormat="false" ht="35" hidden="false" customHeight="true" outlineLevel="0" collapsed="false">
      <c r="A54" s="11" t="s">
        <v>154</v>
      </c>
      <c r="B54" s="11" t="s">
        <v>153</v>
      </c>
      <c r="C54" s="11" t="s">
        <v>139</v>
      </c>
      <c r="D54" s="12" t="str">
        <f aca="false">HYPERLINK("#Notes!A12","[note 9]")</f>
        <v>[note 9]</v>
      </c>
      <c r="E54" s="11" t="n">
        <v>23.4049779457917</v>
      </c>
      <c r="F54" s="11" t="n">
        <v>22.987350217966</v>
      </c>
      <c r="G54" s="11" t="n">
        <v>24.8153340174219</v>
      </c>
      <c r="H54" s="11" t="n">
        <v>25.8153597236557</v>
      </c>
      <c r="I54" s="11" t="n">
        <v>26.0785177088359</v>
      </c>
      <c r="J54" s="11" t="n">
        <v>27.7437262990777</v>
      </c>
      <c r="K54" s="11" t="n">
        <v>29.5276821526667</v>
      </c>
      <c r="L54" s="11" t="n">
        <v>31.8068465246926</v>
      </c>
      <c r="M54" s="11" t="n">
        <v>34.761048419787</v>
      </c>
      <c r="N54" s="11" t="n">
        <v>34.546501676778</v>
      </c>
      <c r="O54" s="11" t="n">
        <v>36.5737821400304</v>
      </c>
      <c r="P54" s="11" t="n">
        <v>36.4524670175751</v>
      </c>
      <c r="Q54" s="11" t="n">
        <v>34.7831095534258</v>
      </c>
      <c r="R54" s="11" t="n">
        <v>35.0056557595463</v>
      </c>
      <c r="S54" s="11" t="n">
        <v>38.868571633415</v>
      </c>
      <c r="T54" s="11" t="n">
        <v>41.3477149682766</v>
      </c>
      <c r="U54" s="11" t="n">
        <v>42.7777607370441</v>
      </c>
      <c r="V54" s="11" t="n">
        <v>42.6662541489719</v>
      </c>
      <c r="W54" s="11" t="n">
        <v>45.3449827801572</v>
      </c>
      <c r="X54" s="11" t="n">
        <v>43.8441346015328</v>
      </c>
      <c r="Y54" s="11" t="n">
        <v>41.8333866700746</v>
      </c>
      <c r="Z54" s="11" t="n">
        <v>42.6917211611623</v>
      </c>
      <c r="AA54" s="11" t="n">
        <v>40.6737673106719</v>
      </c>
      <c r="AB54" s="11" t="n">
        <v>41.6441352026503</v>
      </c>
      <c r="AC54" s="11" t="n">
        <v>41.016311983451</v>
      </c>
      <c r="AD54" s="11" t="n">
        <v>41.106587158819</v>
      </c>
      <c r="AE54" s="11" t="n">
        <v>42.2291394260331</v>
      </c>
      <c r="AF54" s="11" t="n">
        <v>44.4902906593276</v>
      </c>
      <c r="AG54" s="11" t="n">
        <v>44.0679950886659</v>
      </c>
      <c r="AH54" s="11" t="n">
        <v>42.9774962501012</v>
      </c>
      <c r="AI54" s="11" t="n">
        <v>21.0317222137582</v>
      </c>
      <c r="AJ54" s="11" t="n">
        <v>19.8038719561892</v>
      </c>
      <c r="AK54" s="11" t="n">
        <v>34.3402603985262</v>
      </c>
      <c r="AL54" s="11" t="n">
        <v>39.1154025301628</v>
      </c>
      <c r="AM54" s="11" t="n">
        <v>41.9478970929608</v>
      </c>
      <c r="AN54" s="11" t="n">
        <v>42.2854516274598</v>
      </c>
      <c r="AO54" s="11" t="n">
        <v>41.7707813394059</v>
      </c>
      <c r="AP54" s="11" t="n">
        <v>41.5934433206711</v>
      </c>
      <c r="AQ54" s="11" t="n">
        <v>40.6529292936652</v>
      </c>
      <c r="AR54" s="11" t="n">
        <v>40.8988517236249</v>
      </c>
      <c r="AS54" s="11" t="n">
        <v>39.8915129383533</v>
      </c>
      <c r="AT54" s="11" t="n">
        <v>39.8118351341012</v>
      </c>
      <c r="AU54" s="11" t="n">
        <v>39.4555517100467</v>
      </c>
      <c r="AV54" s="11" t="n">
        <v>38.7600386061301</v>
      </c>
      <c r="AW54" s="11" t="n">
        <v>38.2436403553886</v>
      </c>
      <c r="AX54" s="11" t="n">
        <v>38.0378403608337</v>
      </c>
      <c r="AY54" s="11" t="n">
        <v>37.4369056973882</v>
      </c>
      <c r="AZ54" s="11" t="n">
        <v>36.676290782145</v>
      </c>
      <c r="BA54" s="11" t="n">
        <v>36.5017063589597</v>
      </c>
      <c r="BB54" s="11" t="n">
        <v>36.5267615346145</v>
      </c>
      <c r="BC54" s="11" t="n">
        <v>36.245334898323</v>
      </c>
      <c r="BD54" s="11" t="n">
        <v>36.7181610178511</v>
      </c>
      <c r="BE54" s="11" t="n">
        <v>37.243533409706</v>
      </c>
      <c r="BF54" s="11" t="n">
        <v>37.1705954372477</v>
      </c>
      <c r="BG54" s="11" t="n">
        <v>36.8699339781966</v>
      </c>
      <c r="BH54" s="11" t="n">
        <v>36.4110196957223</v>
      </c>
      <c r="BI54" s="11" t="n">
        <v>35.9249032819482</v>
      </c>
      <c r="BJ54" s="11" t="n">
        <v>35.2192232593229</v>
      </c>
      <c r="BK54" s="11" t="n">
        <v>35.4142849459432</v>
      </c>
      <c r="BL54" s="11" t="n">
        <v>34.2983836372689</v>
      </c>
      <c r="BM54" s="11" t="n">
        <v>33.7457847671173</v>
      </c>
      <c r="BN54" s="11" t="n">
        <v>206.71297591066</v>
      </c>
      <c r="BO54" s="11" t="n">
        <v>200.710680799791</v>
      </c>
      <c r="BP54" s="11" t="n">
        <v>189.154715801886</v>
      </c>
      <c r="BQ54" s="11" t="n">
        <v>183.235497219454</v>
      </c>
    </row>
    <row r="55" customFormat="false" ht="13.8" hidden="false" customHeight="false" outlineLevel="0" collapsed="false">
      <c r="A55" s="11" t="s">
        <v>155</v>
      </c>
      <c r="B55" s="11" t="s">
        <v>153</v>
      </c>
      <c r="C55" s="11" t="s">
        <v>139</v>
      </c>
      <c r="D55" s="12" t="str">
        <f aca="false">HYPERLINK("#Notes!A12","[note 9]")</f>
        <v>[note 9]</v>
      </c>
      <c r="E55" s="11" t="n">
        <v>0.0125890835226998</v>
      </c>
      <c r="F55" s="11" t="n">
        <v>0.0109751170093508</v>
      </c>
      <c r="G55" s="11" t="n">
        <v>0.0105123158861649</v>
      </c>
      <c r="H55" s="11" t="n">
        <v>0.0101236904014491</v>
      </c>
      <c r="I55" s="11" t="n">
        <v>0.00919830421697692</v>
      </c>
      <c r="J55" s="11" t="n">
        <v>0.00923506226912738</v>
      </c>
      <c r="K55" s="11" t="n">
        <v>0.00952637289345431</v>
      </c>
      <c r="L55" s="11" t="n">
        <v>0.0100170778920726</v>
      </c>
      <c r="M55" s="11" t="n">
        <v>0.0100532113979351</v>
      </c>
      <c r="N55" s="11" t="n">
        <v>0.00834265754184278</v>
      </c>
      <c r="O55" s="11" t="n">
        <v>0.00730582987881518</v>
      </c>
      <c r="P55" s="11" t="n">
        <v>0.00681790931902899</v>
      </c>
      <c r="Q55" s="11" t="n">
        <v>0.00630500040352559</v>
      </c>
      <c r="R55" s="11" t="n">
        <v>0.00610667648698635</v>
      </c>
      <c r="S55" s="11" t="n">
        <v>0.00634438984340458</v>
      </c>
      <c r="T55" s="11" t="n">
        <v>0.00655254238920297</v>
      </c>
      <c r="U55" s="11" t="n">
        <v>0.00687555871945185</v>
      </c>
      <c r="V55" s="11" t="n">
        <v>0.00695627552238268</v>
      </c>
      <c r="W55" s="11" t="n">
        <v>0.00848702628658656</v>
      </c>
      <c r="X55" s="11" t="n">
        <v>0.0080587963121825</v>
      </c>
      <c r="Y55" s="11" t="n">
        <v>0.00715464807683107</v>
      </c>
      <c r="Z55" s="11" t="n">
        <v>0.00741164069813107</v>
      </c>
      <c r="AA55" s="11" t="n">
        <v>0.00662579789668267</v>
      </c>
      <c r="AB55" s="11" t="n">
        <v>0.00678410211710636</v>
      </c>
      <c r="AC55" s="11" t="n">
        <v>0.006474370233903</v>
      </c>
      <c r="AD55" s="11" t="n">
        <v>0.00627298674837881</v>
      </c>
      <c r="AE55" s="11" t="n">
        <v>0.00661788442106704</v>
      </c>
      <c r="AF55" s="11" t="n">
        <v>0.00647787292413065</v>
      </c>
      <c r="AG55" s="11" t="n">
        <v>0.00630766022195382</v>
      </c>
      <c r="AH55" s="11" t="n">
        <v>0.00588406077467458</v>
      </c>
      <c r="AI55" s="11" t="n">
        <v>0.0033099028832611</v>
      </c>
      <c r="AJ55" s="11" t="n">
        <v>0.00323425555558424</v>
      </c>
      <c r="AK55" s="11" t="n">
        <v>0.00460985824771227</v>
      </c>
      <c r="AL55" s="11" t="n">
        <v>0.00460062035964831</v>
      </c>
      <c r="AM55" s="11" t="n">
        <v>0.00476441580944522</v>
      </c>
      <c r="AN55" s="11" t="n">
        <v>0.00474727849323506</v>
      </c>
      <c r="AO55" s="11" t="n">
        <v>0.00469061998524104</v>
      </c>
      <c r="AP55" s="11" t="n">
        <v>0.00465445147417582</v>
      </c>
      <c r="AQ55" s="11" t="n">
        <v>0.00456482887308517</v>
      </c>
      <c r="AR55" s="11" t="n">
        <v>0.00456429385427989</v>
      </c>
      <c r="AS55" s="11" t="n">
        <v>0.00447132558491666</v>
      </c>
      <c r="AT55" s="11" t="n">
        <v>0.00444734026270878</v>
      </c>
      <c r="AU55" s="11" t="n">
        <v>0.00440543682735449</v>
      </c>
      <c r="AV55" s="11" t="n">
        <v>0.00433655265149583</v>
      </c>
      <c r="AW55" s="11" t="n">
        <v>0.00428058629175956</v>
      </c>
      <c r="AX55" s="11" t="n">
        <v>0.00425262128105525</v>
      </c>
      <c r="AY55" s="11" t="n">
        <v>0.00420099548791325</v>
      </c>
      <c r="AZ55" s="11" t="n">
        <v>0.00413801287142161</v>
      </c>
      <c r="BA55" s="11" t="n">
        <v>0.00411135712895239</v>
      </c>
      <c r="BB55" s="11" t="n">
        <v>0.00410272794771994</v>
      </c>
      <c r="BC55" s="11" t="n">
        <v>0.00406758667652021</v>
      </c>
      <c r="BD55" s="11" t="n">
        <v>0.00408499135390556</v>
      </c>
      <c r="BE55" s="11" t="n">
        <v>0.00410441600476228</v>
      </c>
      <c r="BF55" s="11" t="n">
        <v>0.00403025616226962</v>
      </c>
      <c r="BG55" s="11" t="n">
        <v>0.00393521830299817</v>
      </c>
      <c r="BH55" s="11" t="n">
        <v>0.00382893380372485</v>
      </c>
      <c r="BI55" s="11" t="n">
        <v>0.00372177663548755</v>
      </c>
      <c r="BJ55" s="11" t="n">
        <v>0.00359841362465889</v>
      </c>
      <c r="BK55" s="11" t="n">
        <v>0.00354149099584186</v>
      </c>
      <c r="BL55" s="11" t="n">
        <v>0.00339307111445951</v>
      </c>
      <c r="BM55" s="11" t="n">
        <v>0.00328939497250166</v>
      </c>
      <c r="BN55" s="11" t="n">
        <v>0.0234573861217455</v>
      </c>
      <c r="BO55" s="11" t="n">
        <v>0.022453225402345</v>
      </c>
      <c r="BP55" s="11" t="n">
        <v>0.0212087685836455</v>
      </c>
      <c r="BQ55" s="11" t="n">
        <v>0.0204710791118604</v>
      </c>
    </row>
    <row r="56" customFormat="false" ht="13.8" hidden="false" customHeight="false" outlineLevel="0" collapsed="false">
      <c r="A56" s="11" t="s">
        <v>156</v>
      </c>
      <c r="B56" s="11" t="s">
        <v>153</v>
      </c>
      <c r="C56" s="11" t="s">
        <v>139</v>
      </c>
      <c r="D56" s="12" t="str">
        <f aca="false">HYPERLINK("#Notes!A12","[note 9]")</f>
        <v>[note 9]</v>
      </c>
      <c r="E56" s="11" t="n">
        <v>0.229768437808112</v>
      </c>
      <c r="F56" s="11" t="n">
        <v>0.225486442917531</v>
      </c>
      <c r="G56" s="11" t="n">
        <v>0.241630342123149</v>
      </c>
      <c r="H56" s="11" t="n">
        <v>0.249224912347367</v>
      </c>
      <c r="I56" s="11" t="n">
        <v>0.249190648394163</v>
      </c>
      <c r="J56" s="11" t="n">
        <v>0.265321670310047</v>
      </c>
      <c r="K56" s="11" t="n">
        <v>0.282903257612216</v>
      </c>
      <c r="L56" s="11" t="n">
        <v>0.306128555632585</v>
      </c>
      <c r="M56" s="11" t="n">
        <v>0.332279359740273</v>
      </c>
      <c r="N56" s="11" t="n">
        <v>0.320674052540595</v>
      </c>
      <c r="O56" s="11" t="n">
        <v>0.334381611789901</v>
      </c>
      <c r="P56" s="11" t="n">
        <v>0.335644446137459</v>
      </c>
      <c r="Q56" s="11" t="n">
        <v>0.317098438070823</v>
      </c>
      <c r="R56" s="11" t="n">
        <v>0.317243046482137</v>
      </c>
      <c r="S56" s="11" t="n">
        <v>0.353841689241966</v>
      </c>
      <c r="T56" s="11" t="n">
        <v>0.374521266281019</v>
      </c>
      <c r="U56" s="11" t="n">
        <v>0.390318356325297</v>
      </c>
      <c r="V56" s="11" t="n">
        <v>0.389808460720638</v>
      </c>
      <c r="W56" s="11" t="n">
        <v>0.426895378977304</v>
      </c>
      <c r="X56" s="11" t="n">
        <v>0.412114826928773</v>
      </c>
      <c r="Y56" s="11" t="n">
        <v>0.388446438125771</v>
      </c>
      <c r="Z56" s="11" t="n">
        <v>0.398357833742933</v>
      </c>
      <c r="AA56" s="11" t="n">
        <v>0.376567284377753</v>
      </c>
      <c r="AB56" s="11" t="n">
        <v>0.385317635603666</v>
      </c>
      <c r="AC56" s="11" t="n">
        <v>0.378757042232084</v>
      </c>
      <c r="AD56" s="11" t="n">
        <v>0.375810347207758</v>
      </c>
      <c r="AE56" s="11" t="n">
        <v>0.386991939967827</v>
      </c>
      <c r="AF56" s="11" t="n">
        <v>0.403485731229427</v>
      </c>
      <c r="AG56" s="11" t="n">
        <v>0.399904077676805</v>
      </c>
      <c r="AH56" s="11" t="n">
        <v>0.388577727315604</v>
      </c>
      <c r="AI56" s="11" t="n">
        <v>0.199095822046541</v>
      </c>
      <c r="AJ56" s="11" t="n">
        <v>0.189827672057938</v>
      </c>
      <c r="AK56" s="11" t="n">
        <v>0.313169165025215</v>
      </c>
      <c r="AL56" s="11" t="n">
        <v>0.354880659437038</v>
      </c>
      <c r="AM56" s="11" t="n">
        <v>0.378386684653289</v>
      </c>
      <c r="AN56" s="11" t="n">
        <v>0.380713431354324</v>
      </c>
      <c r="AO56" s="11" t="n">
        <v>0.3760941681642</v>
      </c>
      <c r="AP56" s="11" t="n">
        <v>0.374287049131831</v>
      </c>
      <c r="AQ56" s="11" t="n">
        <v>0.366025893740407</v>
      </c>
      <c r="AR56" s="11" t="n">
        <v>0.367875717364998</v>
      </c>
      <c r="AS56" s="11" t="n">
        <v>0.359066716761752</v>
      </c>
      <c r="AT56" s="11" t="n">
        <v>0.358154654378939</v>
      </c>
      <c r="AU56" s="11" t="n">
        <v>0.354922235027332</v>
      </c>
      <c r="AV56" s="11" t="n">
        <v>0.348779324844331</v>
      </c>
      <c r="AW56" s="11" t="n">
        <v>0.344155974965956</v>
      </c>
      <c r="AX56" s="11" t="n">
        <v>0.34224015610735</v>
      </c>
      <c r="AY56" s="11" t="n">
        <v>0.337034731780727</v>
      </c>
      <c r="AZ56" s="11" t="n">
        <v>0.330476687789769</v>
      </c>
      <c r="BA56" s="11" t="n">
        <v>0.328813499062031</v>
      </c>
      <c r="BB56" s="11" t="n">
        <v>0.328890966736787</v>
      </c>
      <c r="BC56" s="11" t="n">
        <v>0.326311261194557</v>
      </c>
      <c r="BD56" s="11" t="n">
        <v>0.330106464536919</v>
      </c>
      <c r="BE56" s="11" t="n">
        <v>0.334324547725099</v>
      </c>
      <c r="BF56" s="11" t="n">
        <v>0.332813876170709</v>
      </c>
      <c r="BG56" s="11" t="n">
        <v>0.329313599533671</v>
      </c>
      <c r="BH56" s="11" t="n">
        <v>0.324472906813636</v>
      </c>
      <c r="BI56" s="11" t="n">
        <v>0.319415537667506</v>
      </c>
      <c r="BJ56" s="11" t="n">
        <v>0.312490651731376</v>
      </c>
      <c r="BK56" s="11" t="n">
        <v>0.313226546855994</v>
      </c>
      <c r="BL56" s="11" t="n">
        <v>0.302880077357479</v>
      </c>
      <c r="BM56" s="11" t="n">
        <v>0.297365817178083</v>
      </c>
      <c r="BN56" s="11" t="n">
        <v>1.86436199274068</v>
      </c>
      <c r="BO56" s="11" t="n">
        <v>1.80604521727343</v>
      </c>
      <c r="BP56" s="11" t="n">
        <v>1.70268687548813</v>
      </c>
      <c r="BQ56" s="11" t="n">
        <v>1.64844673925539</v>
      </c>
    </row>
    <row r="57" customFormat="false" ht="13.8"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2026-01-27T11:31:56Z</dcterms:created>
  <dc:creator>EEP_Team</dc:creator>
  <dc:description/>
  <dc:language>zh-CN</dc:language>
  <cp:lastModifiedBy>Lockhart, Hannah (Energy Security)</cp:lastModifiedBy>
  <dcterms:modified xsi:type="dcterms:W3CDTF">2026-01-30T12:23:06Z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0x010100E283D4AA16744246A16C92235D91DBE5</vt:lpwstr>
  </property>
  <property fmtid="{D5CDD505-2E9C-101B-9397-08002B2CF9AE}" pid="3" name="_dlc_DocIdItemGuid">
    <vt:lpwstr>e1efe71d-97d4-4e19-aa73-0d9fbe238280</vt:lpwstr>
  </property>
</Properties>
</file>